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nguyenphuongyennhi/Downloads/"/>
    </mc:Choice>
  </mc:AlternateContent>
  <xr:revisionPtr revIDLastSave="0" documentId="13_ncr:1_{5BE8BBDD-D27E-3D41-9077-DFBC4ADF9E77}" xr6:coauthVersionLast="47" xr6:coauthVersionMax="47" xr10:uidLastSave="{00000000-0000-0000-0000-000000000000}"/>
  <bookViews>
    <workbookView xWindow="0" yWindow="760" windowWidth="29400" windowHeight="16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L2" i="1"/>
  <c r="K2" i="1"/>
  <c r="J2" i="1"/>
  <c r="F2" i="1"/>
  <c r="F3" i="1"/>
  <c r="F4" i="1"/>
  <c r="F5" i="1"/>
  <c r="F6" i="1"/>
  <c r="G6" i="1" s="1"/>
  <c r="F7" i="1"/>
  <c r="F8" i="1"/>
  <c r="F9" i="1"/>
  <c r="F10" i="1"/>
  <c r="G10" i="1" s="1"/>
  <c r="F11" i="1"/>
  <c r="F12" i="1"/>
  <c r="F13" i="1"/>
  <c r="F14" i="1"/>
  <c r="F15" i="1"/>
  <c r="F16" i="1"/>
  <c r="F17" i="1"/>
  <c r="G17" i="1" s="1"/>
  <c r="F18" i="1"/>
  <c r="F19" i="1"/>
  <c r="F20" i="1"/>
  <c r="F21" i="1"/>
  <c r="F22" i="1"/>
  <c r="F23" i="1"/>
  <c r="F24" i="1"/>
  <c r="F25" i="1"/>
  <c r="F26" i="1"/>
  <c r="F27" i="1"/>
  <c r="G27" i="1" s="1"/>
  <c r="F28" i="1"/>
  <c r="G28" i="1" s="1"/>
  <c r="F29" i="1"/>
  <c r="G29" i="1" s="1"/>
  <c r="F30" i="1"/>
  <c r="F31" i="1"/>
  <c r="F32" i="1"/>
  <c r="F33" i="1"/>
  <c r="F34" i="1"/>
  <c r="F35" i="1"/>
  <c r="G35" i="1" s="1"/>
  <c r="F36" i="1"/>
  <c r="F37" i="1"/>
  <c r="F38" i="1"/>
  <c r="F39" i="1"/>
  <c r="G39" i="1" s="1"/>
  <c r="F40" i="1"/>
  <c r="F41" i="1"/>
  <c r="F42" i="1"/>
  <c r="F43" i="1"/>
  <c r="F44" i="1"/>
  <c r="G44" i="1" s="1"/>
  <c r="F45" i="1"/>
  <c r="G45" i="1" s="1"/>
  <c r="F46" i="1"/>
  <c r="F47" i="1"/>
  <c r="F48" i="1"/>
  <c r="F49" i="1"/>
  <c r="G49" i="1" s="1"/>
  <c r="F50" i="1"/>
  <c r="F51" i="1"/>
  <c r="F52" i="1"/>
  <c r="F53" i="1"/>
  <c r="F54" i="1"/>
  <c r="G54" i="1" s="1"/>
  <c r="F55" i="1"/>
  <c r="G55" i="1" s="1"/>
  <c r="F56" i="1"/>
  <c r="F57" i="1"/>
  <c r="F58" i="1"/>
  <c r="G58" i="1" s="1"/>
  <c r="F59" i="1"/>
  <c r="F60" i="1"/>
  <c r="G60" i="1" s="1"/>
  <c r="F61" i="1"/>
  <c r="F62" i="1"/>
  <c r="F63" i="1"/>
  <c r="F64" i="1"/>
  <c r="G64" i="1" s="1"/>
  <c r="F65" i="1"/>
  <c r="F66" i="1"/>
  <c r="F67" i="1"/>
  <c r="G67" i="1" s="1"/>
  <c r="F68" i="1"/>
  <c r="F69" i="1"/>
  <c r="F70" i="1"/>
  <c r="F71" i="1"/>
  <c r="F72" i="1"/>
  <c r="F73" i="1"/>
  <c r="F74" i="1"/>
  <c r="F75" i="1"/>
  <c r="F76" i="1"/>
  <c r="F77" i="1"/>
  <c r="G77" i="1" s="1"/>
  <c r="F78" i="1"/>
  <c r="F79" i="1"/>
  <c r="F80" i="1"/>
  <c r="G80" i="1" s="1"/>
  <c r="F81" i="1"/>
  <c r="F82" i="1"/>
  <c r="F83" i="1"/>
  <c r="F84" i="1"/>
  <c r="F85" i="1"/>
  <c r="F86" i="1"/>
  <c r="F87" i="1"/>
  <c r="F88" i="1"/>
  <c r="F89" i="1"/>
  <c r="F90" i="1"/>
  <c r="G90" i="1" s="1"/>
  <c r="F91" i="1"/>
  <c r="F92" i="1"/>
  <c r="F93" i="1"/>
  <c r="F94" i="1"/>
  <c r="F95" i="1"/>
  <c r="F96" i="1"/>
  <c r="G96" i="1" s="1"/>
  <c r="F97" i="1"/>
  <c r="G97" i="1" s="1"/>
  <c r="F98" i="1"/>
  <c r="F99" i="1"/>
  <c r="F100" i="1"/>
  <c r="G100" i="1" s="1"/>
  <c r="F101" i="1"/>
  <c r="F102" i="1"/>
  <c r="F103" i="1"/>
  <c r="F104" i="1"/>
  <c r="F105" i="1"/>
  <c r="G105" i="1" s="1"/>
  <c r="F106" i="1"/>
  <c r="G106" i="1" s="1"/>
  <c r="F107" i="1"/>
  <c r="F108" i="1"/>
  <c r="G108" i="1" s="1"/>
  <c r="F109" i="1"/>
  <c r="F110" i="1"/>
  <c r="G110" i="1" s="1"/>
  <c r="F111" i="1"/>
  <c r="F112" i="1"/>
  <c r="F113" i="1"/>
  <c r="F114" i="1"/>
  <c r="F115" i="1"/>
  <c r="F116" i="1"/>
  <c r="G116" i="1" s="1"/>
  <c r="F117" i="1"/>
  <c r="F118" i="1"/>
  <c r="F119" i="1"/>
  <c r="G119" i="1" s="1"/>
  <c r="F120" i="1"/>
  <c r="F121" i="1"/>
  <c r="G121" i="1" s="1"/>
  <c r="F122" i="1"/>
  <c r="F123" i="1"/>
  <c r="F124" i="1"/>
  <c r="F125" i="1"/>
  <c r="G125" i="1" s="1"/>
  <c r="F126" i="1"/>
  <c r="F127" i="1"/>
  <c r="F128" i="1"/>
  <c r="F129" i="1"/>
  <c r="G129" i="1" s="1"/>
  <c r="F130" i="1"/>
  <c r="F131" i="1"/>
  <c r="G131" i="1" s="1"/>
  <c r="F132" i="1"/>
  <c r="F133" i="1"/>
  <c r="F134" i="1"/>
  <c r="F135" i="1"/>
  <c r="G135" i="1" s="1"/>
  <c r="F136" i="1"/>
  <c r="F137" i="1"/>
  <c r="F138" i="1"/>
  <c r="G138" i="1" s="1"/>
  <c r="F139" i="1"/>
  <c r="G139" i="1" s="1"/>
  <c r="F140" i="1"/>
  <c r="F141" i="1"/>
  <c r="F142" i="1"/>
  <c r="F143" i="1"/>
  <c r="F144" i="1"/>
  <c r="G144" i="1" s="1"/>
  <c r="F145" i="1"/>
  <c r="G145" i="1" s="1"/>
  <c r="F146" i="1"/>
  <c r="F147" i="1"/>
  <c r="G147" i="1" s="1"/>
  <c r="F148" i="1"/>
  <c r="G148" i="1" s="1"/>
  <c r="F149" i="1"/>
  <c r="G149" i="1" s="1"/>
  <c r="F150" i="1"/>
  <c r="G150" i="1" s="1"/>
  <c r="F151" i="1"/>
  <c r="F152" i="1"/>
  <c r="F153" i="1"/>
  <c r="F154" i="1"/>
  <c r="G154" i="1" s="1"/>
  <c r="F155" i="1"/>
  <c r="G155" i="1" s="1"/>
  <c r="F156" i="1"/>
  <c r="F157" i="1"/>
  <c r="F158" i="1"/>
  <c r="G158" i="1" s="1"/>
  <c r="F159" i="1"/>
  <c r="F160" i="1"/>
  <c r="F161" i="1"/>
  <c r="G161" i="1" s="1"/>
  <c r="F162" i="1"/>
  <c r="F163" i="1"/>
  <c r="F164" i="1"/>
  <c r="G164" i="1" s="1"/>
  <c r="F165" i="1"/>
  <c r="G165" i="1" s="1"/>
  <c r="F166" i="1"/>
  <c r="F167" i="1"/>
  <c r="F168" i="1"/>
  <c r="G168" i="1" s="1"/>
  <c r="F169" i="1"/>
  <c r="F170" i="1"/>
  <c r="F171" i="1"/>
  <c r="F172" i="1"/>
  <c r="F173" i="1"/>
  <c r="F174" i="1"/>
  <c r="F175" i="1"/>
  <c r="G175" i="1" s="1"/>
  <c r="G153" i="1"/>
  <c r="G162" i="1"/>
  <c r="G152" i="1"/>
  <c r="G142" i="1"/>
  <c r="G101" i="1"/>
  <c r="G61" i="1"/>
  <c r="G81" i="1"/>
  <c r="G132" i="1"/>
  <c r="G143" i="1"/>
  <c r="G51" i="1"/>
  <c r="G31" i="1"/>
  <c r="G11" i="1"/>
  <c r="G171" i="1"/>
  <c r="G151" i="1"/>
  <c r="G141" i="1"/>
  <c r="G91" i="1"/>
  <c r="G41" i="1"/>
  <c r="G172" i="1"/>
  <c r="G102" i="1"/>
  <c r="G112" i="1"/>
  <c r="G122" i="1"/>
  <c r="G111" i="1"/>
  <c r="G173" i="1"/>
  <c r="G163" i="1"/>
  <c r="G71" i="1"/>
  <c r="G21" i="1"/>
  <c r="G115" i="1"/>
  <c r="G95" i="1"/>
  <c r="G85" i="1"/>
  <c r="G75" i="1"/>
  <c r="G65" i="1"/>
  <c r="G25" i="1"/>
  <c r="G20" i="1"/>
  <c r="G5" i="1"/>
  <c r="G160" i="1"/>
  <c r="G140" i="1"/>
  <c r="G120" i="1"/>
  <c r="G70" i="1"/>
  <c r="G50" i="1"/>
  <c r="G40" i="1"/>
  <c r="G30" i="1"/>
  <c r="G15" i="1"/>
  <c r="G170" i="1"/>
  <c r="G130" i="1"/>
  <c r="G157" i="1"/>
  <c r="G137" i="1"/>
  <c r="G117" i="1"/>
  <c r="G167" i="1"/>
  <c r="G127" i="1"/>
  <c r="G107" i="1"/>
  <c r="G169" i="1"/>
  <c r="G159" i="1"/>
  <c r="G109" i="1"/>
  <c r="G99" i="1"/>
  <c r="G89" i="1"/>
  <c r="G79" i="1"/>
  <c r="G69" i="1"/>
  <c r="G59" i="1"/>
  <c r="G19" i="1"/>
  <c r="G9" i="1"/>
  <c r="G166" i="1"/>
  <c r="G156" i="1"/>
  <c r="G146" i="1"/>
  <c r="G136" i="1"/>
  <c r="G126" i="1"/>
  <c r="G86" i="1"/>
  <c r="G76" i="1"/>
  <c r="G66" i="1"/>
  <c r="G56" i="1"/>
  <c r="G46" i="1"/>
  <c r="G36" i="1"/>
  <c r="G26" i="1"/>
  <c r="G16" i="1"/>
  <c r="G18" i="1"/>
  <c r="G13" i="1"/>
  <c r="G3" i="1"/>
  <c r="G133" i="1"/>
  <c r="G128" i="1"/>
  <c r="G123" i="1"/>
  <c r="G118" i="1"/>
  <c r="G113" i="1"/>
  <c r="G103" i="1"/>
  <c r="G98" i="1"/>
  <c r="G93" i="1"/>
  <c r="G88" i="1"/>
  <c r="G83" i="1"/>
  <c r="G78" i="1"/>
  <c r="G73" i="1"/>
  <c r="G68" i="1"/>
  <c r="G63" i="1"/>
  <c r="G53" i="1"/>
  <c r="G48" i="1"/>
  <c r="G43" i="1"/>
  <c r="G38" i="1"/>
  <c r="G33" i="1"/>
  <c r="G23" i="1"/>
  <c r="G8" i="1"/>
  <c r="G174" i="1"/>
  <c r="G134" i="1"/>
  <c r="G124" i="1"/>
  <c r="G114" i="1"/>
  <c r="G104" i="1"/>
  <c r="G94" i="1"/>
  <c r="G84" i="1"/>
  <c r="G74" i="1"/>
  <c r="G34" i="1"/>
  <c r="G24" i="1"/>
  <c r="G14" i="1"/>
  <c r="G4" i="1"/>
  <c r="G92" i="1"/>
  <c r="G87" i="1"/>
  <c r="G82" i="1"/>
  <c r="G72" i="1"/>
  <c r="G62" i="1"/>
  <c r="G57" i="1"/>
  <c r="G52" i="1"/>
  <c r="G47" i="1"/>
  <c r="G42" i="1"/>
  <c r="G37" i="1"/>
  <c r="G32" i="1"/>
  <c r="G22" i="1"/>
  <c r="G12" i="1"/>
  <c r="G7" i="1"/>
  <c r="G2" i="1"/>
</calcChain>
</file>

<file path=xl/sharedStrings.xml><?xml version="1.0" encoding="utf-8"?>
<sst xmlns="http://schemas.openxmlformats.org/spreadsheetml/2006/main" count="683" uniqueCount="193">
  <si>
    <t>Emp_Info</t>
  </si>
  <si>
    <t>Base_Salary</t>
  </si>
  <si>
    <t>Work_Days</t>
  </si>
  <si>
    <t>Rating</t>
  </si>
  <si>
    <t>Status</t>
  </si>
  <si>
    <t>A</t>
  </si>
  <si>
    <t>Active</t>
  </si>
  <si>
    <t>B</t>
  </si>
  <si>
    <t>C</t>
  </si>
  <si>
    <t>Column1</t>
  </si>
  <si>
    <t xml:space="preserve">NV101 </t>
  </si>
  <si>
    <t xml:space="preserve"> Marketing</t>
  </si>
  <si>
    <t xml:space="preserve">NV102 </t>
  </si>
  <si>
    <t xml:space="preserve"> IT</t>
  </si>
  <si>
    <t xml:space="preserve">NV103 </t>
  </si>
  <si>
    <t xml:space="preserve"> Sales</t>
  </si>
  <si>
    <t xml:space="preserve">NV104 </t>
  </si>
  <si>
    <t xml:space="preserve">NV105 </t>
  </si>
  <si>
    <t xml:space="preserve">NV106 </t>
  </si>
  <si>
    <t xml:space="preserve">NV107 </t>
  </si>
  <si>
    <t xml:space="preserve">NV108 </t>
  </si>
  <si>
    <t xml:space="preserve">NV109 </t>
  </si>
  <si>
    <t xml:space="preserve">NV110 </t>
  </si>
  <si>
    <t xml:space="preserve">NV111 </t>
  </si>
  <si>
    <t xml:space="preserve">NV112 </t>
  </si>
  <si>
    <t xml:space="preserve">NV113 </t>
  </si>
  <si>
    <t xml:space="preserve">NV114 </t>
  </si>
  <si>
    <t xml:space="preserve">NV115 </t>
  </si>
  <si>
    <t xml:space="preserve">NV116 </t>
  </si>
  <si>
    <t xml:space="preserve">NV117 </t>
  </si>
  <si>
    <t xml:space="preserve">NV118 </t>
  </si>
  <si>
    <t xml:space="preserve">NV119 </t>
  </si>
  <si>
    <t xml:space="preserve">NV120 </t>
  </si>
  <si>
    <t xml:space="preserve">NV121 </t>
  </si>
  <si>
    <t xml:space="preserve">NV122 </t>
  </si>
  <si>
    <t xml:space="preserve">NV123 </t>
  </si>
  <si>
    <t xml:space="preserve">NV124 </t>
  </si>
  <si>
    <t xml:space="preserve">NV125 </t>
  </si>
  <si>
    <t xml:space="preserve">NV126 </t>
  </si>
  <si>
    <t xml:space="preserve">NV127 </t>
  </si>
  <si>
    <t xml:space="preserve">NV128 </t>
  </si>
  <si>
    <t xml:space="preserve">NV129 </t>
  </si>
  <si>
    <t xml:space="preserve">NV130 </t>
  </si>
  <si>
    <t xml:space="preserve">NV131 </t>
  </si>
  <si>
    <t xml:space="preserve">NV132 </t>
  </si>
  <si>
    <t xml:space="preserve">NV133 </t>
  </si>
  <si>
    <t xml:space="preserve">NV134 </t>
  </si>
  <si>
    <t xml:space="preserve">NV135 </t>
  </si>
  <si>
    <t xml:space="preserve">NV136 </t>
  </si>
  <si>
    <t xml:space="preserve">NV137 </t>
  </si>
  <si>
    <t xml:space="preserve">NV138 </t>
  </si>
  <si>
    <t xml:space="preserve">NV139 </t>
  </si>
  <si>
    <t xml:space="preserve">NV140 </t>
  </si>
  <si>
    <t xml:space="preserve">NV141 </t>
  </si>
  <si>
    <t xml:space="preserve">NV142 </t>
  </si>
  <si>
    <t xml:space="preserve">NV143 </t>
  </si>
  <si>
    <t xml:space="preserve">NV144 </t>
  </si>
  <si>
    <t xml:space="preserve">NV145 </t>
  </si>
  <si>
    <t xml:space="preserve">NV146 </t>
  </si>
  <si>
    <t xml:space="preserve">NV147 </t>
  </si>
  <si>
    <t xml:space="preserve">NV148 </t>
  </si>
  <si>
    <t xml:space="preserve">NV149 </t>
  </si>
  <si>
    <t xml:space="preserve">NV150 </t>
  </si>
  <si>
    <t xml:space="preserve">NV151 </t>
  </si>
  <si>
    <t xml:space="preserve">NV152 </t>
  </si>
  <si>
    <t xml:space="preserve">NV153 </t>
  </si>
  <si>
    <t xml:space="preserve">NV154 </t>
  </si>
  <si>
    <t xml:space="preserve">NV155 </t>
  </si>
  <si>
    <t xml:space="preserve">NV156 </t>
  </si>
  <si>
    <t xml:space="preserve">NV157 </t>
  </si>
  <si>
    <t xml:space="preserve">NV158 </t>
  </si>
  <si>
    <t xml:space="preserve">NV159 </t>
  </si>
  <si>
    <t xml:space="preserve">NV160 </t>
  </si>
  <si>
    <t xml:space="preserve">NV161 </t>
  </si>
  <si>
    <t xml:space="preserve">NV162 </t>
  </si>
  <si>
    <t xml:space="preserve">NV163 </t>
  </si>
  <si>
    <t xml:space="preserve">NV164 </t>
  </si>
  <si>
    <t xml:space="preserve">NV165 </t>
  </si>
  <si>
    <t xml:space="preserve">NV166 </t>
  </si>
  <si>
    <t xml:space="preserve">NV167 </t>
  </si>
  <si>
    <t xml:space="preserve">NV168 </t>
  </si>
  <si>
    <t xml:space="preserve">NV169 </t>
  </si>
  <si>
    <t xml:space="preserve">NV170 </t>
  </si>
  <si>
    <t xml:space="preserve">NV171 </t>
  </si>
  <si>
    <t xml:space="preserve">NV172 </t>
  </si>
  <si>
    <t xml:space="preserve">NV173 </t>
  </si>
  <si>
    <t xml:space="preserve">NV174 </t>
  </si>
  <si>
    <t xml:space="preserve">NV175 </t>
  </si>
  <si>
    <t xml:space="preserve">NV176 </t>
  </si>
  <si>
    <t xml:space="preserve">NV177 </t>
  </si>
  <si>
    <t xml:space="preserve">NV178 </t>
  </si>
  <si>
    <t xml:space="preserve">NV179 </t>
  </si>
  <si>
    <t xml:space="preserve">NV180 </t>
  </si>
  <si>
    <t xml:space="preserve">NV181 </t>
  </si>
  <si>
    <t xml:space="preserve">NV182 </t>
  </si>
  <si>
    <t xml:space="preserve">NV183 </t>
  </si>
  <si>
    <t xml:space="preserve">NV184 </t>
  </si>
  <si>
    <t xml:space="preserve">NV185 </t>
  </si>
  <si>
    <t xml:space="preserve">NV186 </t>
  </si>
  <si>
    <t xml:space="preserve">NV187 </t>
  </si>
  <si>
    <t xml:space="preserve">NV188 </t>
  </si>
  <si>
    <t xml:space="preserve">NV189 </t>
  </si>
  <si>
    <t xml:space="preserve">NV190 </t>
  </si>
  <si>
    <t xml:space="preserve">NV191 </t>
  </si>
  <si>
    <t xml:space="preserve">NV192 </t>
  </si>
  <si>
    <t xml:space="preserve">NV193 </t>
  </si>
  <si>
    <t xml:space="preserve">NV194 </t>
  </si>
  <si>
    <t xml:space="preserve">NV195 </t>
  </si>
  <si>
    <t xml:space="preserve">NV196 </t>
  </si>
  <si>
    <t xml:space="preserve">NV197 </t>
  </si>
  <si>
    <t xml:space="preserve">NV198 </t>
  </si>
  <si>
    <t xml:space="preserve">NV199 </t>
  </si>
  <si>
    <t xml:space="preserve">NV200 </t>
  </si>
  <si>
    <t xml:space="preserve">NV201 </t>
  </si>
  <si>
    <t xml:space="preserve">NV202 </t>
  </si>
  <si>
    <t xml:space="preserve">NV203 </t>
  </si>
  <si>
    <t xml:space="preserve">NV204 </t>
  </si>
  <si>
    <t xml:space="preserve">NV205 </t>
  </si>
  <si>
    <t xml:space="preserve">NV206 </t>
  </si>
  <si>
    <t xml:space="preserve">NV207 </t>
  </si>
  <si>
    <t xml:space="preserve">NV208 </t>
  </si>
  <si>
    <t xml:space="preserve">NV209 </t>
  </si>
  <si>
    <t xml:space="preserve">NV210 </t>
  </si>
  <si>
    <t xml:space="preserve">NV211 </t>
  </si>
  <si>
    <t xml:space="preserve">NV212 </t>
  </si>
  <si>
    <t xml:space="preserve">NV213 </t>
  </si>
  <si>
    <t xml:space="preserve">NV214 </t>
  </si>
  <si>
    <t xml:space="preserve">NV215 </t>
  </si>
  <si>
    <t xml:space="preserve">NV216 </t>
  </si>
  <si>
    <t xml:space="preserve">NV217 </t>
  </si>
  <si>
    <t xml:space="preserve">NV218 </t>
  </si>
  <si>
    <t xml:space="preserve">NV219 </t>
  </si>
  <si>
    <t xml:space="preserve">NV220 </t>
  </si>
  <si>
    <t xml:space="preserve">NV221 </t>
  </si>
  <si>
    <t xml:space="preserve">NV222 </t>
  </si>
  <si>
    <t xml:space="preserve">NV223 </t>
  </si>
  <si>
    <t xml:space="preserve">NV224 </t>
  </si>
  <si>
    <t xml:space="preserve">NV225 </t>
  </si>
  <si>
    <t xml:space="preserve">NV226 </t>
  </si>
  <si>
    <t xml:space="preserve">NV227 </t>
  </si>
  <si>
    <t xml:space="preserve">NV228 </t>
  </si>
  <si>
    <t xml:space="preserve">NV229 </t>
  </si>
  <si>
    <t xml:space="preserve">NV230 </t>
  </si>
  <si>
    <t xml:space="preserve">NV231 </t>
  </si>
  <si>
    <t xml:space="preserve">NV232 </t>
  </si>
  <si>
    <t xml:space="preserve">NV233 </t>
  </si>
  <si>
    <t xml:space="preserve">NV234 </t>
  </si>
  <si>
    <t xml:space="preserve">NV235 </t>
  </si>
  <si>
    <t xml:space="preserve">NV236 </t>
  </si>
  <si>
    <t xml:space="preserve">NV237 </t>
  </si>
  <si>
    <t xml:space="preserve">NV238 </t>
  </si>
  <si>
    <t xml:space="preserve">NV239 </t>
  </si>
  <si>
    <t xml:space="preserve">NV240 </t>
  </si>
  <si>
    <t xml:space="preserve">NV241 </t>
  </si>
  <si>
    <t xml:space="preserve">NV242 </t>
  </si>
  <si>
    <t xml:space="preserve">NV243 </t>
  </si>
  <si>
    <t xml:space="preserve">NV244 </t>
  </si>
  <si>
    <t xml:space="preserve">NV245 </t>
  </si>
  <si>
    <t xml:space="preserve">NV246 </t>
  </si>
  <si>
    <t xml:space="preserve">NV247 </t>
  </si>
  <si>
    <t xml:space="preserve">NV248 </t>
  </si>
  <si>
    <t xml:space="preserve">NV249 </t>
  </si>
  <si>
    <t xml:space="preserve">NV250 </t>
  </si>
  <si>
    <t xml:space="preserve">NV251 </t>
  </si>
  <si>
    <t xml:space="preserve">NV252 </t>
  </si>
  <si>
    <t xml:space="preserve">NV253 </t>
  </si>
  <si>
    <t xml:space="preserve">NV254 </t>
  </si>
  <si>
    <t xml:space="preserve">NV255 </t>
  </si>
  <si>
    <t xml:space="preserve">NV256 </t>
  </si>
  <si>
    <t xml:space="preserve">NV257 </t>
  </si>
  <si>
    <t xml:space="preserve">NV258 </t>
  </si>
  <si>
    <t xml:space="preserve">NV259 </t>
  </si>
  <si>
    <t xml:space="preserve">NV260 </t>
  </si>
  <si>
    <t xml:space="preserve">NV261 </t>
  </si>
  <si>
    <t xml:space="preserve">NV262 </t>
  </si>
  <si>
    <t xml:space="preserve">NV263 </t>
  </si>
  <si>
    <t xml:space="preserve">NV264 </t>
  </si>
  <si>
    <t xml:space="preserve">NV265 </t>
  </si>
  <si>
    <t xml:space="preserve">NV266 </t>
  </si>
  <si>
    <t xml:space="preserve">NV267 </t>
  </si>
  <si>
    <t xml:space="preserve">NV268 </t>
  </si>
  <si>
    <t xml:space="preserve">NV269 </t>
  </si>
  <si>
    <t xml:space="preserve">NV270 </t>
  </si>
  <si>
    <t xml:space="preserve">NV271 </t>
  </si>
  <si>
    <t xml:space="preserve">NV272 </t>
  </si>
  <si>
    <t xml:space="preserve">NV273 </t>
  </si>
  <si>
    <t xml:space="preserve">NV274 </t>
  </si>
  <si>
    <t>Tiền thưởng</t>
  </si>
  <si>
    <t>Net Salary</t>
  </si>
  <si>
    <t>Tổng tiền thưởng</t>
  </si>
  <si>
    <t>Tổng số nhân viên</t>
  </si>
  <si>
    <t>NV xếp loại A</t>
  </si>
  <si>
    <t>Tỉ lệ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</si>
</sst>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5E8694-2C54-2844-B489-5D23D7918AA4}" name="Table1" displayName="Table1" ref="A1:H175" totalsRowShown="0" headerRowDxfId="5" dataDxfId="6">
  <autoFilter ref="A1:H175" xr:uid="{9B5E8694-2C54-2844-B489-5D23D7918AA4}"/>
  <tableColumns count="8">
    <tableColumn id="1" xr3:uid="{70E27A7B-DEDD-2B4D-944E-C07B64ECFB90}" name="Emp_Info" dataDxfId="11"/>
    <tableColumn id="6" xr3:uid="{4C9AB992-C909-F941-A5DF-97281C6942DE}" name="Column1" dataDxfId="4"/>
    <tableColumn id="2" xr3:uid="{D7A7D79D-6433-CF44-93C0-8A251BE5B5FD}" name="Base_Salary" dataDxfId="10"/>
    <tableColumn id="3" xr3:uid="{1D55592A-4FAC-8948-BF78-F31A0F68F6C7}" name="Work_Days" dataDxfId="9"/>
    <tableColumn id="4" xr3:uid="{91344AEA-94FF-1544-85CE-35D360701729}" name="Rating" dataDxfId="8"/>
    <tableColumn id="7" xr3:uid="{D87E49DB-95F3-DF40-AF15-F95520B0B789}" name="Tiền thưởng" dataDxfId="1">
      <calculatedColumnFormula>IF(Table1[[#This Row],[Rating]]="A",Table1[[#This Row],[Base_Salary]]*0.1,IF(E2="B",C2*0.05,0))</calculatedColumnFormula>
    </tableColumn>
    <tableColumn id="8" xr3:uid="{DC9F1542-2F1D-7848-B104-6493035FC7EE}" name="Net Salary" dataDxfId="2">
      <calculatedColumnFormula>Table1[[#This Row],[Base_Salary]]/22*Table1[[#This Row],[Work_Days]]+Table1[[#This Row],[Tiền thưởng]]</calculatedColumnFormula>
    </tableColumn>
    <tableColumn id="5" xr3:uid="{57B46945-D306-DE46-BEA1-8D6E839BB2EB}" name="Status" dataDxfId="7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48EE25-6938-C144-AB5C-95A647C6F498}" name="Table2" displayName="Table2" ref="J1:M2" totalsRowShown="0" headerRowDxfId="0">
  <autoFilter ref="J1:M2" xr:uid="{CA48EE25-6938-C144-AB5C-95A647C6F498}"/>
  <tableColumns count="4">
    <tableColumn id="1" xr3:uid="{14EA4371-87EE-9B4F-BD21-3AF264A90C66}" name="Tổng tiền thưởng">
      <calculatedColumnFormula>SUM(Table1[Tiền thưởng])</calculatedColumnFormula>
    </tableColumn>
    <tableColumn id="2" xr3:uid="{4B17AF6F-346F-134B-A7D5-4518264E5098}" name="Tổng số nhân viên">
      <calculatedColumnFormula>COUNTA(Table1[Emp_Info])</calculatedColumnFormula>
    </tableColumn>
    <tableColumn id="3" xr3:uid="{CC8C7A58-5AF3-5147-936B-E052B44F551B}" name="NV xếp loại A">
      <calculatedColumnFormula>COUNTIF(Table1[Rating],"A")</calculatedColumnFormula>
    </tableColumn>
    <tableColumn id="4" xr3:uid="{84466DE2-319C-904C-A479-D6234C886A80}" name="Tỉ lệ %">
      <calculatedColumnFormula>L2/K2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01"/>
  <sheetViews>
    <sheetView tabSelected="1" workbookViewId="0">
      <selection activeCell="K12" sqref="K12"/>
    </sheetView>
  </sheetViews>
  <sheetFormatPr baseColWidth="10" defaultColWidth="12.6640625" defaultRowHeight="15.75" customHeight="1" x14ac:dyDescent="0.15"/>
  <cols>
    <col min="1" max="1" width="13.83203125" bestFit="1" customWidth="1"/>
    <col min="2" max="2" width="13.33203125" bestFit="1" customWidth="1"/>
    <col min="3" max="3" width="16.6640625" bestFit="1" customWidth="1"/>
    <col min="4" max="4" width="12.83203125" customWidth="1"/>
    <col min="6" max="6" width="16" bestFit="1" customWidth="1"/>
    <col min="10" max="10" width="17.33203125" customWidth="1"/>
    <col min="11" max="11" width="18.5" customWidth="1"/>
    <col min="12" max="12" width="14.5" customWidth="1"/>
  </cols>
  <sheetData>
    <row r="1" spans="1:13" ht="15.75" customHeight="1" x14ac:dyDescent="0.15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187</v>
      </c>
      <c r="G1" s="1" t="s">
        <v>188</v>
      </c>
      <c r="H1" s="1" t="s">
        <v>4</v>
      </c>
      <c r="I1" s="1"/>
      <c r="J1" s="4" t="s">
        <v>189</v>
      </c>
      <c r="K1" s="4" t="s">
        <v>190</v>
      </c>
      <c r="L1" s="4" t="s">
        <v>191</v>
      </c>
      <c r="M1" s="4" t="s">
        <v>192</v>
      </c>
    </row>
    <row r="2" spans="1:13" ht="15.75" customHeight="1" x14ac:dyDescent="0.15">
      <c r="A2" s="2" t="s">
        <v>10</v>
      </c>
      <c r="B2" s="2" t="s">
        <v>11</v>
      </c>
      <c r="C2" s="2">
        <v>15000000</v>
      </c>
      <c r="D2" s="2">
        <v>22</v>
      </c>
      <c r="E2" s="2" t="s">
        <v>5</v>
      </c>
      <c r="F2" s="2">
        <f>IF(Table1[[#This Row],[Rating]]="A",Table1[[#This Row],[Base_Salary]]*0.1,IF(E2="B",C2*0.05,0))</f>
        <v>1500000</v>
      </c>
      <c r="G2" s="2">
        <f>Table1[[#This Row],[Base_Salary]]/22*Table1[[#This Row],[Work_Days]]+Table1[[#This Row],[Tiền thưởng]]</f>
        <v>16499999.999999998</v>
      </c>
      <c r="H2" s="2" t="s">
        <v>6</v>
      </c>
      <c r="J2">
        <f>SUM(Table1[Tiền thưởng])</f>
        <v>105725000</v>
      </c>
      <c r="K2">
        <f>COUNTA(Table1[Emp_Info])</f>
        <v>174</v>
      </c>
      <c r="L2">
        <f>COUNTIF(Table1[Rating],"A")</f>
        <v>51</v>
      </c>
      <c r="M2">
        <f>L2/K2</f>
        <v>0.29310344827586204</v>
      </c>
    </row>
    <row r="3" spans="1:13" ht="15.75" customHeight="1" x14ac:dyDescent="0.15">
      <c r="A3" s="2" t="s">
        <v>12</v>
      </c>
      <c r="B3" s="2" t="s">
        <v>13</v>
      </c>
      <c r="C3" s="3">
        <v>12500000</v>
      </c>
      <c r="D3" s="2">
        <v>21</v>
      </c>
      <c r="E3" s="2" t="s">
        <v>7</v>
      </c>
      <c r="F3" s="2">
        <f>IF(Table1[[#This Row],[Rating]]="A",Table1[[#This Row],[Base_Salary]]*0.1,IF(E3="B",C3*0.05,0))</f>
        <v>625000</v>
      </c>
      <c r="G3" s="2">
        <f>Table1[[#This Row],[Base_Salary]]/22*Table1[[#This Row],[Work_Days]]+Table1[[#This Row],[Tiền thưởng]]</f>
        <v>12556818.181818184</v>
      </c>
      <c r="H3" s="2" t="s">
        <v>6</v>
      </c>
    </row>
    <row r="4" spans="1:13" ht="15.75" customHeight="1" x14ac:dyDescent="0.15">
      <c r="A4" s="2" t="s">
        <v>14</v>
      </c>
      <c r="B4" s="2" t="s">
        <v>15</v>
      </c>
      <c r="C4" s="2">
        <v>20000000</v>
      </c>
      <c r="D4" s="2">
        <v>20</v>
      </c>
      <c r="E4" s="2" t="s">
        <v>8</v>
      </c>
      <c r="F4" s="2">
        <f>IF(Table1[[#This Row],[Rating]]="A",Table1[[#This Row],[Base_Salary]]*0.1,IF(E4="B",C4*0.05,0))</f>
        <v>0</v>
      </c>
      <c r="G4" s="2">
        <f>Table1[[#This Row],[Base_Salary]]/22*Table1[[#This Row],[Work_Days]]+Table1[[#This Row],[Tiền thưởng]]</f>
        <v>18181818.18181818</v>
      </c>
      <c r="H4" s="2" t="s">
        <v>6</v>
      </c>
    </row>
    <row r="5" spans="1:13" ht="15.75" customHeight="1" x14ac:dyDescent="0.15">
      <c r="A5" s="2" t="s">
        <v>16</v>
      </c>
      <c r="B5" s="2" t="s">
        <v>11</v>
      </c>
      <c r="C5" s="2">
        <v>8000000</v>
      </c>
      <c r="D5" s="2">
        <v>22</v>
      </c>
      <c r="E5" s="2" t="s">
        <v>5</v>
      </c>
      <c r="F5" s="2">
        <f>IF(Table1[[#This Row],[Rating]]="A",Table1[[#This Row],[Base_Salary]]*0.1,IF(E5="B",C5*0.05,0))</f>
        <v>800000</v>
      </c>
      <c r="G5" s="2">
        <f>Table1[[#This Row],[Base_Salary]]/22*Table1[[#This Row],[Work_Days]]+Table1[[#This Row],[Tiền thưởng]]</f>
        <v>8800000</v>
      </c>
      <c r="H5" s="2" t="s">
        <v>6</v>
      </c>
    </row>
    <row r="6" spans="1:13" ht="15.75" customHeight="1" x14ac:dyDescent="0.15">
      <c r="A6" s="2" t="s">
        <v>17</v>
      </c>
      <c r="B6" s="2" t="s">
        <v>13</v>
      </c>
      <c r="C6" s="2">
        <v>15000000</v>
      </c>
      <c r="D6" s="2">
        <v>22</v>
      </c>
      <c r="F6">
        <f>IF(Table1[[#This Row],[Rating]]="A",Table1[[#This Row],[Base_Salary]]*0.1,IF(E6="B",C6*0.05,0))</f>
        <v>0</v>
      </c>
      <c r="G6">
        <f>Table1[[#This Row],[Base_Salary]]/22*Table1[[#This Row],[Work_Days]]+Table1[[#This Row],[Tiền thưởng]]</f>
        <v>14999999.999999998</v>
      </c>
      <c r="H6" s="2" t="s">
        <v>6</v>
      </c>
    </row>
    <row r="7" spans="1:13" ht="15.75" customHeight="1" x14ac:dyDescent="0.15">
      <c r="A7" s="2" t="s">
        <v>18</v>
      </c>
      <c r="B7" s="2" t="s">
        <v>15</v>
      </c>
      <c r="C7" s="3">
        <v>12500000</v>
      </c>
      <c r="D7" s="2">
        <v>21</v>
      </c>
      <c r="E7" s="2" t="s">
        <v>7</v>
      </c>
      <c r="F7" s="2">
        <f>IF(Table1[[#This Row],[Rating]]="A",Table1[[#This Row],[Base_Salary]]*0.1,IF(E7="B",C7*0.05,0))</f>
        <v>625000</v>
      </c>
      <c r="G7" s="2">
        <f>Table1[[#This Row],[Base_Salary]]/22*Table1[[#This Row],[Work_Days]]+Table1[[#This Row],[Tiền thưởng]]</f>
        <v>12556818.181818184</v>
      </c>
      <c r="H7" s="2" t="s">
        <v>6</v>
      </c>
    </row>
    <row r="8" spans="1:13" ht="15.75" customHeight="1" x14ac:dyDescent="0.15">
      <c r="A8" s="2" t="s">
        <v>19</v>
      </c>
      <c r="B8" s="2" t="s">
        <v>11</v>
      </c>
      <c r="C8" s="2">
        <v>20000000</v>
      </c>
      <c r="D8" s="2">
        <v>20</v>
      </c>
      <c r="E8" s="2" t="s">
        <v>5</v>
      </c>
      <c r="F8" s="2">
        <f>IF(Table1[[#This Row],[Rating]]="A",Table1[[#This Row],[Base_Salary]]*0.1,IF(E8="B",C8*0.05,0))</f>
        <v>2000000</v>
      </c>
      <c r="G8" s="2">
        <f>Table1[[#This Row],[Base_Salary]]/22*Table1[[#This Row],[Work_Days]]+Table1[[#This Row],[Tiền thưởng]]</f>
        <v>20181818.18181818</v>
      </c>
      <c r="H8" s="2" t="s">
        <v>6</v>
      </c>
    </row>
    <row r="9" spans="1:13" ht="15.75" customHeight="1" x14ac:dyDescent="0.15">
      <c r="A9" s="2" t="s">
        <v>20</v>
      </c>
      <c r="B9" s="2" t="s">
        <v>13</v>
      </c>
      <c r="C9" s="2">
        <v>8000000</v>
      </c>
      <c r="D9" s="2">
        <v>22</v>
      </c>
      <c r="E9" s="2" t="s">
        <v>8</v>
      </c>
      <c r="F9" s="2">
        <f>IF(Table1[[#This Row],[Rating]]="A",Table1[[#This Row],[Base_Salary]]*0.1,IF(E9="B",C9*0.05,0))</f>
        <v>0</v>
      </c>
      <c r="G9" s="2">
        <f>Table1[[#This Row],[Base_Salary]]/22*Table1[[#This Row],[Work_Days]]+Table1[[#This Row],[Tiền thưởng]]</f>
        <v>8000000</v>
      </c>
      <c r="H9" s="2" t="s">
        <v>6</v>
      </c>
    </row>
    <row r="10" spans="1:13" ht="15.75" customHeight="1" x14ac:dyDescent="0.15">
      <c r="A10" s="2" t="s">
        <v>21</v>
      </c>
      <c r="B10" s="2" t="s">
        <v>15</v>
      </c>
      <c r="C10" s="2">
        <v>15000000</v>
      </c>
      <c r="D10" s="2">
        <v>22</v>
      </c>
      <c r="E10" s="2" t="s">
        <v>7</v>
      </c>
      <c r="F10" s="2">
        <f>IF(Table1[[#This Row],[Rating]]="A",Table1[[#This Row],[Base_Salary]]*0.1,IF(E10="B",C10*0.05,0))</f>
        <v>750000</v>
      </c>
      <c r="G10" s="2">
        <f>Table1[[#This Row],[Base_Salary]]/22*Table1[[#This Row],[Work_Days]]+Table1[[#This Row],[Tiền thưởng]]</f>
        <v>15749999.999999998</v>
      </c>
      <c r="H10" s="2" t="s">
        <v>6</v>
      </c>
    </row>
    <row r="11" spans="1:13" ht="15.75" customHeight="1" x14ac:dyDescent="0.15">
      <c r="A11" s="2" t="s">
        <v>22</v>
      </c>
      <c r="B11" s="2" t="s">
        <v>11</v>
      </c>
      <c r="C11" s="3">
        <v>12500000</v>
      </c>
      <c r="D11" s="2">
        <v>21</v>
      </c>
      <c r="F11">
        <f>IF(Table1[[#This Row],[Rating]]="A",Table1[[#This Row],[Base_Salary]]*0.1,IF(E11="B",C11*0.05,0))</f>
        <v>0</v>
      </c>
      <c r="G11">
        <f>Table1[[#This Row],[Base_Salary]]/22*Table1[[#This Row],[Work_Days]]+Table1[[#This Row],[Tiền thưởng]]</f>
        <v>11931818.181818184</v>
      </c>
      <c r="H11" s="2" t="s">
        <v>6</v>
      </c>
    </row>
    <row r="12" spans="1:13" ht="15.75" customHeight="1" x14ac:dyDescent="0.15">
      <c r="A12" s="2" t="s">
        <v>23</v>
      </c>
      <c r="B12" s="2" t="s">
        <v>13</v>
      </c>
      <c r="C12" s="2">
        <v>20000000</v>
      </c>
      <c r="D12" s="2">
        <v>20</v>
      </c>
      <c r="E12" s="2" t="s">
        <v>5</v>
      </c>
      <c r="F12" s="2">
        <f>IF(Table1[[#This Row],[Rating]]="A",Table1[[#This Row],[Base_Salary]]*0.1,IF(E12="B",C12*0.05,0))</f>
        <v>2000000</v>
      </c>
      <c r="G12" s="2">
        <f>Table1[[#This Row],[Base_Salary]]/22*Table1[[#This Row],[Work_Days]]+Table1[[#This Row],[Tiền thưởng]]</f>
        <v>20181818.18181818</v>
      </c>
      <c r="H12" s="2" t="s">
        <v>6</v>
      </c>
    </row>
    <row r="13" spans="1:13" ht="15.75" customHeight="1" x14ac:dyDescent="0.15">
      <c r="A13" s="2" t="s">
        <v>24</v>
      </c>
      <c r="B13" s="2" t="s">
        <v>15</v>
      </c>
      <c r="C13" s="2">
        <v>8000000</v>
      </c>
      <c r="D13" s="2">
        <v>22</v>
      </c>
      <c r="E13" s="2" t="s">
        <v>7</v>
      </c>
      <c r="F13" s="2">
        <f>IF(Table1[[#This Row],[Rating]]="A",Table1[[#This Row],[Base_Salary]]*0.1,IF(E13="B",C13*0.05,0))</f>
        <v>400000</v>
      </c>
      <c r="G13" s="2">
        <f>Table1[[#This Row],[Base_Salary]]/22*Table1[[#This Row],[Work_Days]]+Table1[[#This Row],[Tiền thưởng]]</f>
        <v>8400000</v>
      </c>
      <c r="H13" s="2" t="s">
        <v>6</v>
      </c>
    </row>
    <row r="14" spans="1:13" ht="15.75" customHeight="1" x14ac:dyDescent="0.15">
      <c r="A14" s="2" t="s">
        <v>25</v>
      </c>
      <c r="B14" s="2" t="s">
        <v>11</v>
      </c>
      <c r="C14" s="2">
        <v>15000000</v>
      </c>
      <c r="D14" s="2">
        <v>22</v>
      </c>
      <c r="E14" s="2" t="s">
        <v>8</v>
      </c>
      <c r="F14" s="2">
        <f>IF(Table1[[#This Row],[Rating]]="A",Table1[[#This Row],[Base_Salary]]*0.1,IF(E14="B",C14*0.05,0))</f>
        <v>0</v>
      </c>
      <c r="G14" s="2">
        <f>Table1[[#This Row],[Base_Salary]]/22*Table1[[#This Row],[Work_Days]]+Table1[[#This Row],[Tiền thưởng]]</f>
        <v>14999999.999999998</v>
      </c>
      <c r="H14" s="2" t="s">
        <v>6</v>
      </c>
    </row>
    <row r="15" spans="1:13" ht="15.75" customHeight="1" x14ac:dyDescent="0.15">
      <c r="A15" s="2" t="s">
        <v>26</v>
      </c>
      <c r="B15" s="2" t="s">
        <v>13</v>
      </c>
      <c r="C15" s="3">
        <v>12500000</v>
      </c>
      <c r="D15" s="2">
        <v>21</v>
      </c>
      <c r="E15" s="2" t="s">
        <v>5</v>
      </c>
      <c r="F15" s="2">
        <f>IF(Table1[[#This Row],[Rating]]="A",Table1[[#This Row],[Base_Salary]]*0.1,IF(E15="B",C15*0.05,0))</f>
        <v>1250000</v>
      </c>
      <c r="G15" s="2">
        <f>Table1[[#This Row],[Base_Salary]]/22*Table1[[#This Row],[Work_Days]]+Table1[[#This Row],[Tiền thưởng]]</f>
        <v>13181818.181818184</v>
      </c>
      <c r="H15" s="2" t="s">
        <v>6</v>
      </c>
    </row>
    <row r="16" spans="1:13" ht="15.75" customHeight="1" x14ac:dyDescent="0.15">
      <c r="A16" s="2" t="s">
        <v>27</v>
      </c>
      <c r="B16" s="2" t="s">
        <v>15</v>
      </c>
      <c r="C16" s="2">
        <v>20000000</v>
      </c>
      <c r="D16" s="2">
        <v>20</v>
      </c>
      <c r="E16" s="2" t="s">
        <v>7</v>
      </c>
      <c r="F16" s="2">
        <f>IF(Table1[[#This Row],[Rating]]="A",Table1[[#This Row],[Base_Salary]]*0.1,IF(E16="B",C16*0.05,0))</f>
        <v>1000000</v>
      </c>
      <c r="G16" s="2">
        <f>Table1[[#This Row],[Base_Salary]]/22*Table1[[#This Row],[Work_Days]]+Table1[[#This Row],[Tiền thưởng]]</f>
        <v>19181818.18181818</v>
      </c>
      <c r="H16" s="2" t="s">
        <v>6</v>
      </c>
    </row>
    <row r="17" spans="1:8" ht="15.75" customHeight="1" x14ac:dyDescent="0.15">
      <c r="A17" s="2" t="s">
        <v>28</v>
      </c>
      <c r="B17" s="2" t="s">
        <v>11</v>
      </c>
      <c r="C17" s="2">
        <v>8000000</v>
      </c>
      <c r="D17" s="2">
        <v>22</v>
      </c>
      <c r="F17">
        <f>IF(Table1[[#This Row],[Rating]]="A",Table1[[#This Row],[Base_Salary]]*0.1,IF(E17="B",C17*0.05,0))</f>
        <v>0</v>
      </c>
      <c r="G17">
        <f>Table1[[#This Row],[Base_Salary]]/22*Table1[[#This Row],[Work_Days]]+Table1[[#This Row],[Tiền thưởng]]</f>
        <v>8000000</v>
      </c>
      <c r="H17" s="2" t="s">
        <v>6</v>
      </c>
    </row>
    <row r="18" spans="1:8" ht="15.75" customHeight="1" x14ac:dyDescent="0.15">
      <c r="A18" s="2" t="s">
        <v>29</v>
      </c>
      <c r="B18" s="2" t="s">
        <v>13</v>
      </c>
      <c r="C18" s="2">
        <v>15000000</v>
      </c>
      <c r="D18" s="2">
        <v>22</v>
      </c>
      <c r="E18" s="2" t="s">
        <v>8</v>
      </c>
      <c r="F18" s="2">
        <f>IF(Table1[[#This Row],[Rating]]="A",Table1[[#This Row],[Base_Salary]]*0.1,IF(E18="B",C18*0.05,0))</f>
        <v>0</v>
      </c>
      <c r="G18" s="2">
        <f>Table1[[#This Row],[Base_Salary]]/22*Table1[[#This Row],[Work_Days]]+Table1[[#This Row],[Tiền thưởng]]</f>
        <v>14999999.999999998</v>
      </c>
      <c r="H18" s="2" t="s">
        <v>6</v>
      </c>
    </row>
    <row r="19" spans="1:8" ht="15.75" customHeight="1" x14ac:dyDescent="0.15">
      <c r="A19" s="2" t="s">
        <v>30</v>
      </c>
      <c r="B19" s="2" t="s">
        <v>15</v>
      </c>
      <c r="C19" s="3">
        <v>12500000</v>
      </c>
      <c r="D19" s="2">
        <v>21</v>
      </c>
      <c r="E19" s="2" t="s">
        <v>5</v>
      </c>
      <c r="F19" s="2">
        <f>IF(Table1[[#This Row],[Rating]]="A",Table1[[#This Row],[Base_Salary]]*0.1,IF(E19="B",C19*0.05,0))</f>
        <v>1250000</v>
      </c>
      <c r="G19" s="2">
        <f>Table1[[#This Row],[Base_Salary]]/22*Table1[[#This Row],[Work_Days]]+Table1[[#This Row],[Tiền thưởng]]</f>
        <v>13181818.181818184</v>
      </c>
      <c r="H19" s="2" t="s">
        <v>6</v>
      </c>
    </row>
    <row r="20" spans="1:8" ht="15.75" customHeight="1" x14ac:dyDescent="0.15">
      <c r="A20" s="2" t="s">
        <v>31</v>
      </c>
      <c r="B20" s="2" t="s">
        <v>11</v>
      </c>
      <c r="C20" s="2">
        <v>20000000</v>
      </c>
      <c r="D20" s="2">
        <v>20</v>
      </c>
      <c r="E20" s="2" t="s">
        <v>7</v>
      </c>
      <c r="F20" s="2">
        <f>IF(Table1[[#This Row],[Rating]]="A",Table1[[#This Row],[Base_Salary]]*0.1,IF(E20="B",C20*0.05,0))</f>
        <v>1000000</v>
      </c>
      <c r="G20" s="2">
        <f>Table1[[#This Row],[Base_Salary]]/22*Table1[[#This Row],[Work_Days]]+Table1[[#This Row],[Tiền thưởng]]</f>
        <v>19181818.18181818</v>
      </c>
      <c r="H20" s="2" t="s">
        <v>6</v>
      </c>
    </row>
    <row r="21" spans="1:8" ht="15.75" customHeight="1" x14ac:dyDescent="0.15">
      <c r="A21" s="2" t="s">
        <v>32</v>
      </c>
      <c r="B21" s="2" t="s">
        <v>13</v>
      </c>
      <c r="C21" s="2">
        <v>8000000</v>
      </c>
      <c r="D21" s="2">
        <v>22</v>
      </c>
      <c r="E21" s="2" t="s">
        <v>8</v>
      </c>
      <c r="F21" s="2">
        <f>IF(Table1[[#This Row],[Rating]]="A",Table1[[#This Row],[Base_Salary]]*0.1,IF(E21="B",C21*0.05,0))</f>
        <v>0</v>
      </c>
      <c r="G21" s="2">
        <f>Table1[[#This Row],[Base_Salary]]/22*Table1[[#This Row],[Work_Days]]+Table1[[#This Row],[Tiền thưởng]]</f>
        <v>8000000</v>
      </c>
      <c r="H21" s="2" t="s">
        <v>6</v>
      </c>
    </row>
    <row r="22" spans="1:8" ht="15.75" customHeight="1" x14ac:dyDescent="0.15">
      <c r="A22" s="2" t="s">
        <v>33</v>
      </c>
      <c r="B22" s="2" t="s">
        <v>15</v>
      </c>
      <c r="C22" s="2">
        <v>15000000</v>
      </c>
      <c r="D22" s="2">
        <v>22</v>
      </c>
      <c r="E22" s="2" t="s">
        <v>5</v>
      </c>
      <c r="F22" s="2">
        <f>IF(Table1[[#This Row],[Rating]]="A",Table1[[#This Row],[Base_Salary]]*0.1,IF(E22="B",C22*0.05,0))</f>
        <v>1500000</v>
      </c>
      <c r="G22" s="2">
        <f>Table1[[#This Row],[Base_Salary]]/22*Table1[[#This Row],[Work_Days]]+Table1[[#This Row],[Tiền thưởng]]</f>
        <v>16499999.999999998</v>
      </c>
      <c r="H22" s="2" t="s">
        <v>6</v>
      </c>
    </row>
    <row r="23" spans="1:8" ht="15.75" customHeight="1" x14ac:dyDescent="0.15">
      <c r="A23" s="2" t="s">
        <v>34</v>
      </c>
      <c r="B23" s="2" t="s">
        <v>11</v>
      </c>
      <c r="C23" s="3">
        <v>12500000</v>
      </c>
      <c r="D23" s="2">
        <v>21</v>
      </c>
      <c r="E23" s="2" t="s">
        <v>7</v>
      </c>
      <c r="F23" s="2">
        <f>IF(Table1[[#This Row],[Rating]]="A",Table1[[#This Row],[Base_Salary]]*0.1,IF(E23="B",C23*0.05,0))</f>
        <v>625000</v>
      </c>
      <c r="G23" s="2">
        <f>Table1[[#This Row],[Base_Salary]]/22*Table1[[#This Row],[Work_Days]]+Table1[[#This Row],[Tiền thưởng]]</f>
        <v>12556818.181818184</v>
      </c>
      <c r="H23" s="2" t="s">
        <v>6</v>
      </c>
    </row>
    <row r="24" spans="1:8" ht="15.75" customHeight="1" x14ac:dyDescent="0.15">
      <c r="A24" s="2" t="s">
        <v>35</v>
      </c>
      <c r="B24" s="2" t="s">
        <v>13</v>
      </c>
      <c r="C24" s="2">
        <v>20000000</v>
      </c>
      <c r="D24" s="2">
        <v>20</v>
      </c>
      <c r="F24">
        <f>IF(Table1[[#This Row],[Rating]]="A",Table1[[#This Row],[Base_Salary]]*0.1,IF(E24="B",C24*0.05,0))</f>
        <v>0</v>
      </c>
      <c r="G24">
        <f>Table1[[#This Row],[Base_Salary]]/22*Table1[[#This Row],[Work_Days]]+Table1[[#This Row],[Tiền thưởng]]</f>
        <v>18181818.18181818</v>
      </c>
      <c r="H24" s="2" t="s">
        <v>6</v>
      </c>
    </row>
    <row r="25" spans="1:8" ht="15.75" customHeight="1" x14ac:dyDescent="0.15">
      <c r="A25" s="2" t="s">
        <v>36</v>
      </c>
      <c r="B25" s="2" t="s">
        <v>15</v>
      </c>
      <c r="C25" s="2">
        <v>8000000</v>
      </c>
      <c r="D25" s="2">
        <v>22</v>
      </c>
      <c r="E25" s="2" t="s">
        <v>8</v>
      </c>
      <c r="F25" s="2">
        <f>IF(Table1[[#This Row],[Rating]]="A",Table1[[#This Row],[Base_Salary]]*0.1,IF(E25="B",C25*0.05,0))</f>
        <v>0</v>
      </c>
      <c r="G25" s="2">
        <f>Table1[[#This Row],[Base_Salary]]/22*Table1[[#This Row],[Work_Days]]+Table1[[#This Row],[Tiền thưởng]]</f>
        <v>8000000</v>
      </c>
      <c r="H25" s="2" t="s">
        <v>6</v>
      </c>
    </row>
    <row r="26" spans="1:8" ht="15.75" customHeight="1" x14ac:dyDescent="0.15">
      <c r="A26" s="2" t="s">
        <v>37</v>
      </c>
      <c r="B26" s="2" t="s">
        <v>11</v>
      </c>
      <c r="C26" s="2">
        <v>15000000</v>
      </c>
      <c r="D26" s="2">
        <v>22</v>
      </c>
      <c r="E26" s="2" t="s">
        <v>5</v>
      </c>
      <c r="F26" s="2">
        <f>IF(Table1[[#This Row],[Rating]]="A",Table1[[#This Row],[Base_Salary]]*0.1,IF(E26="B",C26*0.05,0))</f>
        <v>1500000</v>
      </c>
      <c r="G26" s="2">
        <f>Table1[[#This Row],[Base_Salary]]/22*Table1[[#This Row],[Work_Days]]+Table1[[#This Row],[Tiền thưởng]]</f>
        <v>16499999.999999998</v>
      </c>
      <c r="H26" s="2" t="s">
        <v>6</v>
      </c>
    </row>
    <row r="27" spans="1:8" ht="15.75" customHeight="1" x14ac:dyDescent="0.15">
      <c r="A27" s="2" t="s">
        <v>38</v>
      </c>
      <c r="B27" s="2" t="s">
        <v>13</v>
      </c>
      <c r="C27" s="3">
        <v>12500000</v>
      </c>
      <c r="D27" s="2">
        <v>21</v>
      </c>
      <c r="E27" s="2" t="s">
        <v>7</v>
      </c>
      <c r="F27" s="2">
        <f>IF(Table1[[#This Row],[Rating]]="A",Table1[[#This Row],[Base_Salary]]*0.1,IF(E27="B",C27*0.05,0))</f>
        <v>625000</v>
      </c>
      <c r="G27" s="2">
        <f>Table1[[#This Row],[Base_Salary]]/22*Table1[[#This Row],[Work_Days]]+Table1[[#This Row],[Tiền thưởng]]</f>
        <v>12556818.181818184</v>
      </c>
      <c r="H27" s="2" t="s">
        <v>6</v>
      </c>
    </row>
    <row r="28" spans="1:8" ht="15.75" customHeight="1" x14ac:dyDescent="0.15">
      <c r="A28" s="2" t="s">
        <v>39</v>
      </c>
      <c r="B28" s="2" t="s">
        <v>15</v>
      </c>
      <c r="C28" s="2">
        <v>20000000</v>
      </c>
      <c r="D28" s="2">
        <v>20</v>
      </c>
      <c r="E28" s="2" t="s">
        <v>8</v>
      </c>
      <c r="F28" s="2">
        <f>IF(Table1[[#This Row],[Rating]]="A",Table1[[#This Row],[Base_Salary]]*0.1,IF(E28="B",C28*0.05,0))</f>
        <v>0</v>
      </c>
      <c r="G28" s="2">
        <f>Table1[[#This Row],[Base_Salary]]/22*Table1[[#This Row],[Work_Days]]+Table1[[#This Row],[Tiền thưởng]]</f>
        <v>18181818.18181818</v>
      </c>
      <c r="H28" s="2" t="s">
        <v>6</v>
      </c>
    </row>
    <row r="29" spans="1:8" ht="15.75" customHeight="1" x14ac:dyDescent="0.15">
      <c r="A29" s="2" t="s">
        <v>40</v>
      </c>
      <c r="B29" s="2" t="s">
        <v>11</v>
      </c>
      <c r="C29" s="2">
        <v>8000000</v>
      </c>
      <c r="D29" s="2">
        <v>22</v>
      </c>
      <c r="E29" s="2" t="s">
        <v>5</v>
      </c>
      <c r="F29" s="2">
        <f>IF(Table1[[#This Row],[Rating]]="A",Table1[[#This Row],[Base_Salary]]*0.1,IF(E29="B",C29*0.05,0))</f>
        <v>800000</v>
      </c>
      <c r="G29" s="2">
        <f>Table1[[#This Row],[Base_Salary]]/22*Table1[[#This Row],[Work_Days]]+Table1[[#This Row],[Tiền thưởng]]</f>
        <v>8800000</v>
      </c>
      <c r="H29" s="2" t="s">
        <v>6</v>
      </c>
    </row>
    <row r="30" spans="1:8" ht="15.75" customHeight="1" x14ac:dyDescent="0.15">
      <c r="A30" s="2" t="s">
        <v>41</v>
      </c>
      <c r="B30" s="2" t="s">
        <v>13</v>
      </c>
      <c r="C30" s="2">
        <v>15000000</v>
      </c>
      <c r="D30" s="2">
        <v>22</v>
      </c>
      <c r="E30" s="2" t="s">
        <v>7</v>
      </c>
      <c r="F30" s="2">
        <f>IF(Table1[[#This Row],[Rating]]="A",Table1[[#This Row],[Base_Salary]]*0.1,IF(E30="B",C30*0.05,0))</f>
        <v>750000</v>
      </c>
      <c r="G30" s="2">
        <f>Table1[[#This Row],[Base_Salary]]/22*Table1[[#This Row],[Work_Days]]+Table1[[#This Row],[Tiền thưởng]]</f>
        <v>15749999.999999998</v>
      </c>
      <c r="H30" s="2" t="s">
        <v>6</v>
      </c>
    </row>
    <row r="31" spans="1:8" ht="15.75" customHeight="1" x14ac:dyDescent="0.15">
      <c r="A31" s="2" t="s">
        <v>42</v>
      </c>
      <c r="B31" s="2" t="s">
        <v>15</v>
      </c>
      <c r="C31" s="3">
        <v>12500000</v>
      </c>
      <c r="D31" s="2">
        <v>21</v>
      </c>
      <c r="F31">
        <f>IF(Table1[[#This Row],[Rating]]="A",Table1[[#This Row],[Base_Salary]]*0.1,IF(E31="B",C31*0.05,0))</f>
        <v>0</v>
      </c>
      <c r="G31">
        <f>Table1[[#This Row],[Base_Salary]]/22*Table1[[#This Row],[Work_Days]]+Table1[[#This Row],[Tiền thưởng]]</f>
        <v>11931818.181818184</v>
      </c>
      <c r="H31" s="2" t="s">
        <v>6</v>
      </c>
    </row>
    <row r="32" spans="1:8" ht="15.75" customHeight="1" x14ac:dyDescent="0.15">
      <c r="A32" s="2" t="s">
        <v>43</v>
      </c>
      <c r="B32" s="2" t="s">
        <v>11</v>
      </c>
      <c r="C32" s="2">
        <v>20000000</v>
      </c>
      <c r="D32" s="2">
        <v>20</v>
      </c>
      <c r="E32" s="2" t="s">
        <v>8</v>
      </c>
      <c r="F32" s="2">
        <f>IF(Table1[[#This Row],[Rating]]="A",Table1[[#This Row],[Base_Salary]]*0.1,IF(E32="B",C32*0.05,0))</f>
        <v>0</v>
      </c>
      <c r="G32" s="2">
        <f>Table1[[#This Row],[Base_Salary]]/22*Table1[[#This Row],[Work_Days]]+Table1[[#This Row],[Tiền thưởng]]</f>
        <v>18181818.18181818</v>
      </c>
      <c r="H32" s="2" t="s">
        <v>6</v>
      </c>
    </row>
    <row r="33" spans="1:8" ht="15.75" customHeight="1" x14ac:dyDescent="0.15">
      <c r="A33" s="2" t="s">
        <v>44</v>
      </c>
      <c r="B33" s="2" t="s">
        <v>13</v>
      </c>
      <c r="C33" s="2">
        <v>8000000</v>
      </c>
      <c r="D33" s="2">
        <v>22</v>
      </c>
      <c r="E33" s="2" t="s">
        <v>5</v>
      </c>
      <c r="F33" s="2">
        <f>IF(Table1[[#This Row],[Rating]]="A",Table1[[#This Row],[Base_Salary]]*0.1,IF(E33="B",C33*0.05,0))</f>
        <v>800000</v>
      </c>
      <c r="G33" s="2">
        <f>Table1[[#This Row],[Base_Salary]]/22*Table1[[#This Row],[Work_Days]]+Table1[[#This Row],[Tiền thưởng]]</f>
        <v>8800000</v>
      </c>
      <c r="H33" s="2" t="s">
        <v>6</v>
      </c>
    </row>
    <row r="34" spans="1:8" ht="15.75" customHeight="1" x14ac:dyDescent="0.15">
      <c r="A34" s="2" t="s">
        <v>45</v>
      </c>
      <c r="B34" s="2" t="s">
        <v>15</v>
      </c>
      <c r="C34" s="2">
        <v>15000000</v>
      </c>
      <c r="D34" s="2">
        <v>22</v>
      </c>
      <c r="E34" s="2" t="s">
        <v>7</v>
      </c>
      <c r="F34" s="2">
        <f>IF(Table1[[#This Row],[Rating]]="A",Table1[[#This Row],[Base_Salary]]*0.1,IF(E34="B",C34*0.05,0))</f>
        <v>750000</v>
      </c>
      <c r="G34" s="2">
        <f>Table1[[#This Row],[Base_Salary]]/22*Table1[[#This Row],[Work_Days]]+Table1[[#This Row],[Tiền thưởng]]</f>
        <v>15749999.999999998</v>
      </c>
      <c r="H34" s="2" t="s">
        <v>6</v>
      </c>
    </row>
    <row r="35" spans="1:8" ht="15.75" customHeight="1" x14ac:dyDescent="0.15">
      <c r="A35" s="2" t="s">
        <v>46</v>
      </c>
      <c r="B35" s="2" t="s">
        <v>11</v>
      </c>
      <c r="C35" s="3">
        <v>12500000</v>
      </c>
      <c r="D35" s="2">
        <v>21</v>
      </c>
      <c r="E35" s="2" t="s">
        <v>8</v>
      </c>
      <c r="F35" s="2">
        <f>IF(Table1[[#This Row],[Rating]]="A",Table1[[#This Row],[Base_Salary]]*0.1,IF(E35="B",C35*0.05,0))</f>
        <v>0</v>
      </c>
      <c r="G35" s="2">
        <f>Table1[[#This Row],[Base_Salary]]/22*Table1[[#This Row],[Work_Days]]+Table1[[#This Row],[Tiền thưởng]]</f>
        <v>11931818.181818184</v>
      </c>
      <c r="H35" s="2" t="s">
        <v>6</v>
      </c>
    </row>
    <row r="36" spans="1:8" ht="15.75" customHeight="1" x14ac:dyDescent="0.15">
      <c r="A36" s="2" t="s">
        <v>47</v>
      </c>
      <c r="B36" s="2" t="s">
        <v>13</v>
      </c>
      <c r="C36" s="2">
        <v>20000000</v>
      </c>
      <c r="D36" s="2">
        <v>20</v>
      </c>
      <c r="E36" s="2" t="s">
        <v>5</v>
      </c>
      <c r="F36" s="2">
        <f>IF(Table1[[#This Row],[Rating]]="A",Table1[[#This Row],[Base_Salary]]*0.1,IF(E36="B",C36*0.05,0))</f>
        <v>2000000</v>
      </c>
      <c r="G36" s="2">
        <f>Table1[[#This Row],[Base_Salary]]/22*Table1[[#This Row],[Work_Days]]+Table1[[#This Row],[Tiền thưởng]]</f>
        <v>20181818.18181818</v>
      </c>
      <c r="H36" s="2" t="s">
        <v>6</v>
      </c>
    </row>
    <row r="37" spans="1:8" ht="15.75" customHeight="1" x14ac:dyDescent="0.15">
      <c r="A37" s="2" t="s">
        <v>48</v>
      </c>
      <c r="B37" s="2" t="s">
        <v>15</v>
      </c>
      <c r="C37" s="2">
        <v>8000000</v>
      </c>
      <c r="D37" s="2">
        <v>22</v>
      </c>
      <c r="E37" s="2" t="s">
        <v>7</v>
      </c>
      <c r="F37" s="2">
        <f>IF(Table1[[#This Row],[Rating]]="A",Table1[[#This Row],[Base_Salary]]*0.1,IF(E37="B",C37*0.05,0))</f>
        <v>400000</v>
      </c>
      <c r="G37" s="2">
        <f>Table1[[#This Row],[Base_Salary]]/22*Table1[[#This Row],[Work_Days]]+Table1[[#This Row],[Tiền thưởng]]</f>
        <v>8400000</v>
      </c>
      <c r="H37" s="2" t="s">
        <v>6</v>
      </c>
    </row>
    <row r="38" spans="1:8" ht="15.75" customHeight="1" x14ac:dyDescent="0.15">
      <c r="A38" s="2" t="s">
        <v>49</v>
      </c>
      <c r="B38" s="2" t="s">
        <v>11</v>
      </c>
      <c r="C38" s="2">
        <v>15000000</v>
      </c>
      <c r="D38" s="2">
        <v>22</v>
      </c>
      <c r="F38">
        <f>IF(Table1[[#This Row],[Rating]]="A",Table1[[#This Row],[Base_Salary]]*0.1,IF(E38="B",C38*0.05,0))</f>
        <v>0</v>
      </c>
      <c r="G38">
        <f>Table1[[#This Row],[Base_Salary]]/22*Table1[[#This Row],[Work_Days]]+Table1[[#This Row],[Tiền thưởng]]</f>
        <v>14999999.999999998</v>
      </c>
      <c r="H38" s="2" t="s">
        <v>6</v>
      </c>
    </row>
    <row r="39" spans="1:8" ht="15.75" customHeight="1" x14ac:dyDescent="0.15">
      <c r="A39" s="2" t="s">
        <v>50</v>
      </c>
      <c r="B39" s="2" t="s">
        <v>13</v>
      </c>
      <c r="C39" s="3">
        <v>12500000</v>
      </c>
      <c r="D39" s="2">
        <v>21</v>
      </c>
      <c r="E39" s="2" t="s">
        <v>8</v>
      </c>
      <c r="F39" s="2">
        <f>IF(Table1[[#This Row],[Rating]]="A",Table1[[#This Row],[Base_Salary]]*0.1,IF(E39="B",C39*0.05,0))</f>
        <v>0</v>
      </c>
      <c r="G39" s="2">
        <f>Table1[[#This Row],[Base_Salary]]/22*Table1[[#This Row],[Work_Days]]+Table1[[#This Row],[Tiền thưởng]]</f>
        <v>11931818.181818184</v>
      </c>
      <c r="H39" s="2" t="s">
        <v>6</v>
      </c>
    </row>
    <row r="40" spans="1:8" ht="15.75" customHeight="1" x14ac:dyDescent="0.15">
      <c r="A40" s="2" t="s">
        <v>51</v>
      </c>
      <c r="B40" s="2" t="s">
        <v>15</v>
      </c>
      <c r="C40" s="2">
        <v>20000000</v>
      </c>
      <c r="D40" s="2">
        <v>20</v>
      </c>
      <c r="E40" s="2" t="s">
        <v>5</v>
      </c>
      <c r="F40" s="2">
        <f>IF(Table1[[#This Row],[Rating]]="A",Table1[[#This Row],[Base_Salary]]*0.1,IF(E40="B",C40*0.05,0))</f>
        <v>2000000</v>
      </c>
      <c r="G40" s="2">
        <f>Table1[[#This Row],[Base_Salary]]/22*Table1[[#This Row],[Work_Days]]+Table1[[#This Row],[Tiền thưởng]]</f>
        <v>20181818.18181818</v>
      </c>
      <c r="H40" s="2" t="s">
        <v>6</v>
      </c>
    </row>
    <row r="41" spans="1:8" ht="15.75" customHeight="1" x14ac:dyDescent="0.15">
      <c r="A41" s="2" t="s">
        <v>52</v>
      </c>
      <c r="B41" s="2" t="s">
        <v>11</v>
      </c>
      <c r="C41" s="2">
        <v>8000000</v>
      </c>
      <c r="D41" s="2">
        <v>22</v>
      </c>
      <c r="E41" s="2" t="s">
        <v>7</v>
      </c>
      <c r="F41" s="2">
        <f>IF(Table1[[#This Row],[Rating]]="A",Table1[[#This Row],[Base_Salary]]*0.1,IF(E41="B",C41*0.05,0))</f>
        <v>400000</v>
      </c>
      <c r="G41" s="2">
        <f>Table1[[#This Row],[Base_Salary]]/22*Table1[[#This Row],[Work_Days]]+Table1[[#This Row],[Tiền thưởng]]</f>
        <v>8400000</v>
      </c>
      <c r="H41" s="2" t="s">
        <v>6</v>
      </c>
    </row>
    <row r="42" spans="1:8" ht="15.75" customHeight="1" x14ac:dyDescent="0.15">
      <c r="A42" s="2" t="s">
        <v>53</v>
      </c>
      <c r="B42" s="2" t="s">
        <v>13</v>
      </c>
      <c r="C42" s="2">
        <v>15000000</v>
      </c>
      <c r="D42" s="2">
        <v>22</v>
      </c>
      <c r="E42" s="2" t="s">
        <v>8</v>
      </c>
      <c r="F42" s="2">
        <f>IF(Table1[[#This Row],[Rating]]="A",Table1[[#This Row],[Base_Salary]]*0.1,IF(E42="B",C42*0.05,0))</f>
        <v>0</v>
      </c>
      <c r="G42" s="2">
        <f>Table1[[#This Row],[Base_Salary]]/22*Table1[[#This Row],[Work_Days]]+Table1[[#This Row],[Tiền thưởng]]</f>
        <v>14999999.999999998</v>
      </c>
      <c r="H42" s="2" t="s">
        <v>6</v>
      </c>
    </row>
    <row r="43" spans="1:8" ht="15.75" customHeight="1" x14ac:dyDescent="0.15">
      <c r="A43" s="2" t="s">
        <v>54</v>
      </c>
      <c r="B43" s="2" t="s">
        <v>15</v>
      </c>
      <c r="C43" s="3">
        <v>12500000</v>
      </c>
      <c r="D43" s="2">
        <v>21</v>
      </c>
      <c r="E43" s="2" t="s">
        <v>5</v>
      </c>
      <c r="F43" s="2">
        <f>IF(Table1[[#This Row],[Rating]]="A",Table1[[#This Row],[Base_Salary]]*0.1,IF(E43="B",C43*0.05,0))</f>
        <v>1250000</v>
      </c>
      <c r="G43" s="2">
        <f>Table1[[#This Row],[Base_Salary]]/22*Table1[[#This Row],[Work_Days]]+Table1[[#This Row],[Tiền thưởng]]</f>
        <v>13181818.181818184</v>
      </c>
      <c r="H43" s="2" t="s">
        <v>6</v>
      </c>
    </row>
    <row r="44" spans="1:8" ht="15.75" customHeight="1" x14ac:dyDescent="0.15">
      <c r="A44" s="2" t="s">
        <v>55</v>
      </c>
      <c r="B44" s="2" t="s">
        <v>11</v>
      </c>
      <c r="C44" s="2">
        <v>20000000</v>
      </c>
      <c r="D44" s="2">
        <v>20</v>
      </c>
      <c r="E44" s="2" t="s">
        <v>7</v>
      </c>
      <c r="F44" s="2">
        <f>IF(Table1[[#This Row],[Rating]]="A",Table1[[#This Row],[Base_Salary]]*0.1,IF(E44="B",C44*0.05,0))</f>
        <v>1000000</v>
      </c>
      <c r="G44" s="2">
        <f>Table1[[#This Row],[Base_Salary]]/22*Table1[[#This Row],[Work_Days]]+Table1[[#This Row],[Tiền thưởng]]</f>
        <v>19181818.18181818</v>
      </c>
      <c r="H44" s="2" t="s">
        <v>6</v>
      </c>
    </row>
    <row r="45" spans="1:8" ht="15.75" customHeight="1" x14ac:dyDescent="0.15">
      <c r="A45" s="2" t="s">
        <v>56</v>
      </c>
      <c r="B45" s="2" t="s">
        <v>13</v>
      </c>
      <c r="C45" s="2">
        <v>8000000</v>
      </c>
      <c r="D45" s="2">
        <v>22</v>
      </c>
      <c r="F45">
        <f>IF(Table1[[#This Row],[Rating]]="A",Table1[[#This Row],[Base_Salary]]*0.1,IF(E45="B",C45*0.05,0))</f>
        <v>0</v>
      </c>
      <c r="G45">
        <f>Table1[[#This Row],[Base_Salary]]/22*Table1[[#This Row],[Work_Days]]+Table1[[#This Row],[Tiền thưởng]]</f>
        <v>8000000</v>
      </c>
      <c r="H45" s="2" t="s">
        <v>6</v>
      </c>
    </row>
    <row r="46" spans="1:8" ht="15.75" customHeight="1" x14ac:dyDescent="0.15">
      <c r="A46" s="2" t="s">
        <v>57</v>
      </c>
      <c r="B46" s="2" t="s">
        <v>15</v>
      </c>
      <c r="C46" s="2">
        <v>15000000</v>
      </c>
      <c r="D46" s="2">
        <v>22</v>
      </c>
      <c r="E46" s="2" t="s">
        <v>8</v>
      </c>
      <c r="F46" s="2">
        <f>IF(Table1[[#This Row],[Rating]]="A",Table1[[#This Row],[Base_Salary]]*0.1,IF(E46="B",C46*0.05,0))</f>
        <v>0</v>
      </c>
      <c r="G46" s="2">
        <f>Table1[[#This Row],[Base_Salary]]/22*Table1[[#This Row],[Work_Days]]+Table1[[#This Row],[Tiền thưởng]]</f>
        <v>14999999.999999998</v>
      </c>
      <c r="H46" s="2" t="s">
        <v>6</v>
      </c>
    </row>
    <row r="47" spans="1:8" ht="15.75" customHeight="1" x14ac:dyDescent="0.15">
      <c r="A47" s="2" t="s">
        <v>58</v>
      </c>
      <c r="B47" s="2" t="s">
        <v>11</v>
      </c>
      <c r="C47" s="3">
        <v>12500000</v>
      </c>
      <c r="D47" s="2">
        <v>21</v>
      </c>
      <c r="E47" s="2" t="s">
        <v>5</v>
      </c>
      <c r="F47" s="2">
        <f>IF(Table1[[#This Row],[Rating]]="A",Table1[[#This Row],[Base_Salary]]*0.1,IF(E47="B",C47*0.05,0))</f>
        <v>1250000</v>
      </c>
      <c r="G47" s="2">
        <f>Table1[[#This Row],[Base_Salary]]/22*Table1[[#This Row],[Work_Days]]+Table1[[#This Row],[Tiền thưởng]]</f>
        <v>13181818.181818184</v>
      </c>
      <c r="H47" s="2" t="s">
        <v>6</v>
      </c>
    </row>
    <row r="48" spans="1:8" ht="13" x14ac:dyDescent="0.15">
      <c r="A48" s="2" t="s">
        <v>59</v>
      </c>
      <c r="B48" s="2" t="s">
        <v>13</v>
      </c>
      <c r="C48" s="2">
        <v>20000000</v>
      </c>
      <c r="D48" s="2">
        <v>20</v>
      </c>
      <c r="E48" s="2" t="s">
        <v>7</v>
      </c>
      <c r="F48" s="2">
        <f>IF(Table1[[#This Row],[Rating]]="A",Table1[[#This Row],[Base_Salary]]*0.1,IF(E48="B",C48*0.05,0))</f>
        <v>1000000</v>
      </c>
      <c r="G48" s="2">
        <f>Table1[[#This Row],[Base_Salary]]/22*Table1[[#This Row],[Work_Days]]+Table1[[#This Row],[Tiền thưởng]]</f>
        <v>19181818.18181818</v>
      </c>
      <c r="H48" s="2" t="s">
        <v>6</v>
      </c>
    </row>
    <row r="49" spans="1:8" ht="13" x14ac:dyDescent="0.15">
      <c r="A49" s="2" t="s">
        <v>60</v>
      </c>
      <c r="B49" s="2" t="s">
        <v>15</v>
      </c>
      <c r="C49" s="2">
        <v>8000000</v>
      </c>
      <c r="D49" s="2">
        <v>22</v>
      </c>
      <c r="E49" s="2" t="s">
        <v>8</v>
      </c>
      <c r="F49" s="2">
        <f>IF(Table1[[#This Row],[Rating]]="A",Table1[[#This Row],[Base_Salary]]*0.1,IF(E49="B",C49*0.05,0))</f>
        <v>0</v>
      </c>
      <c r="G49" s="2">
        <f>Table1[[#This Row],[Base_Salary]]/22*Table1[[#This Row],[Work_Days]]+Table1[[#This Row],[Tiền thưởng]]</f>
        <v>8000000</v>
      </c>
      <c r="H49" s="2" t="s">
        <v>6</v>
      </c>
    </row>
    <row r="50" spans="1:8" ht="13" x14ac:dyDescent="0.15">
      <c r="A50" s="2" t="s">
        <v>61</v>
      </c>
      <c r="B50" s="2" t="s">
        <v>11</v>
      </c>
      <c r="C50" s="2">
        <v>15000000</v>
      </c>
      <c r="D50" s="2">
        <v>22</v>
      </c>
      <c r="E50" s="2" t="s">
        <v>5</v>
      </c>
      <c r="F50" s="2">
        <f>IF(Table1[[#This Row],[Rating]]="A",Table1[[#This Row],[Base_Salary]]*0.1,IF(E50="B",C50*0.05,0))</f>
        <v>1500000</v>
      </c>
      <c r="G50" s="2">
        <f>Table1[[#This Row],[Base_Salary]]/22*Table1[[#This Row],[Work_Days]]+Table1[[#This Row],[Tiền thưởng]]</f>
        <v>16499999.999999998</v>
      </c>
      <c r="H50" s="2" t="s">
        <v>6</v>
      </c>
    </row>
    <row r="51" spans="1:8" ht="13" x14ac:dyDescent="0.15">
      <c r="A51" s="2" t="s">
        <v>62</v>
      </c>
      <c r="B51" s="2" t="s">
        <v>13</v>
      </c>
      <c r="C51" s="3">
        <v>12500000</v>
      </c>
      <c r="D51" s="2">
        <v>21</v>
      </c>
      <c r="E51" s="2" t="s">
        <v>7</v>
      </c>
      <c r="F51" s="2">
        <f>IF(Table1[[#This Row],[Rating]]="A",Table1[[#This Row],[Base_Salary]]*0.1,IF(E51="B",C51*0.05,0))</f>
        <v>625000</v>
      </c>
      <c r="G51" s="2">
        <f>Table1[[#This Row],[Base_Salary]]/22*Table1[[#This Row],[Work_Days]]+Table1[[#This Row],[Tiền thưởng]]</f>
        <v>12556818.181818184</v>
      </c>
      <c r="H51" s="2" t="s">
        <v>6</v>
      </c>
    </row>
    <row r="52" spans="1:8" ht="13" x14ac:dyDescent="0.15">
      <c r="A52" s="2" t="s">
        <v>63</v>
      </c>
      <c r="B52" s="2" t="s">
        <v>15</v>
      </c>
      <c r="C52" s="2">
        <v>20000000</v>
      </c>
      <c r="D52" s="2">
        <v>20</v>
      </c>
      <c r="F52">
        <f>IF(Table1[[#This Row],[Rating]]="A",Table1[[#This Row],[Base_Salary]]*0.1,IF(E52="B",C52*0.05,0))</f>
        <v>0</v>
      </c>
      <c r="G52">
        <f>Table1[[#This Row],[Base_Salary]]/22*Table1[[#This Row],[Work_Days]]+Table1[[#This Row],[Tiền thưởng]]</f>
        <v>18181818.18181818</v>
      </c>
      <c r="H52" s="2" t="s">
        <v>6</v>
      </c>
    </row>
    <row r="53" spans="1:8" ht="13" x14ac:dyDescent="0.15">
      <c r="A53" s="2" t="s">
        <v>64</v>
      </c>
      <c r="B53" s="2" t="s">
        <v>11</v>
      </c>
      <c r="C53" s="2">
        <v>8000000</v>
      </c>
      <c r="D53" s="2">
        <v>22</v>
      </c>
      <c r="E53" s="2" t="s">
        <v>8</v>
      </c>
      <c r="F53" s="2">
        <f>IF(Table1[[#This Row],[Rating]]="A",Table1[[#This Row],[Base_Salary]]*0.1,IF(E53="B",C53*0.05,0))</f>
        <v>0</v>
      </c>
      <c r="G53" s="2">
        <f>Table1[[#This Row],[Base_Salary]]/22*Table1[[#This Row],[Work_Days]]+Table1[[#This Row],[Tiền thưởng]]</f>
        <v>8000000</v>
      </c>
      <c r="H53" s="2" t="s">
        <v>6</v>
      </c>
    </row>
    <row r="54" spans="1:8" ht="13" x14ac:dyDescent="0.15">
      <c r="A54" s="2" t="s">
        <v>65</v>
      </c>
      <c r="B54" s="2" t="s">
        <v>13</v>
      </c>
      <c r="C54" s="2">
        <v>15000000</v>
      </c>
      <c r="D54" s="2">
        <v>22</v>
      </c>
      <c r="E54" s="2" t="s">
        <v>5</v>
      </c>
      <c r="F54" s="2">
        <f>IF(Table1[[#This Row],[Rating]]="A",Table1[[#This Row],[Base_Salary]]*0.1,IF(E54="B",C54*0.05,0))</f>
        <v>1500000</v>
      </c>
      <c r="G54" s="2">
        <f>Table1[[#This Row],[Base_Salary]]/22*Table1[[#This Row],[Work_Days]]+Table1[[#This Row],[Tiền thưởng]]</f>
        <v>16499999.999999998</v>
      </c>
      <c r="H54" s="2" t="s">
        <v>6</v>
      </c>
    </row>
    <row r="55" spans="1:8" ht="13" x14ac:dyDescent="0.15">
      <c r="A55" s="2" t="s">
        <v>66</v>
      </c>
      <c r="B55" s="2" t="s">
        <v>15</v>
      </c>
      <c r="C55" s="3">
        <v>12500000</v>
      </c>
      <c r="D55" s="2">
        <v>21</v>
      </c>
      <c r="E55" s="2" t="s">
        <v>7</v>
      </c>
      <c r="F55" s="2">
        <f>IF(Table1[[#This Row],[Rating]]="A",Table1[[#This Row],[Base_Salary]]*0.1,IF(E55="B",C55*0.05,0))</f>
        <v>625000</v>
      </c>
      <c r="G55" s="2">
        <f>Table1[[#This Row],[Base_Salary]]/22*Table1[[#This Row],[Work_Days]]+Table1[[#This Row],[Tiền thưởng]]</f>
        <v>12556818.181818184</v>
      </c>
      <c r="H55" s="2" t="s">
        <v>6</v>
      </c>
    </row>
    <row r="56" spans="1:8" ht="13" x14ac:dyDescent="0.15">
      <c r="A56" s="2" t="s">
        <v>67</v>
      </c>
      <c r="B56" s="2" t="s">
        <v>11</v>
      </c>
      <c r="C56" s="2">
        <v>20000000</v>
      </c>
      <c r="D56" s="2">
        <v>20</v>
      </c>
      <c r="E56" s="2" t="s">
        <v>8</v>
      </c>
      <c r="F56" s="2">
        <f>IF(Table1[[#This Row],[Rating]]="A",Table1[[#This Row],[Base_Salary]]*0.1,IF(E56="B",C56*0.05,0))</f>
        <v>0</v>
      </c>
      <c r="G56" s="2">
        <f>Table1[[#This Row],[Base_Salary]]/22*Table1[[#This Row],[Work_Days]]+Table1[[#This Row],[Tiền thưởng]]</f>
        <v>18181818.18181818</v>
      </c>
      <c r="H56" s="2" t="s">
        <v>6</v>
      </c>
    </row>
    <row r="57" spans="1:8" ht="13" x14ac:dyDescent="0.15">
      <c r="A57" s="2" t="s">
        <v>68</v>
      </c>
      <c r="B57" s="2" t="s">
        <v>13</v>
      </c>
      <c r="C57" s="2">
        <v>8000000</v>
      </c>
      <c r="D57" s="2">
        <v>22</v>
      </c>
      <c r="E57" s="2" t="s">
        <v>5</v>
      </c>
      <c r="F57" s="2">
        <f>IF(Table1[[#This Row],[Rating]]="A",Table1[[#This Row],[Base_Salary]]*0.1,IF(E57="B",C57*0.05,0))</f>
        <v>800000</v>
      </c>
      <c r="G57" s="2">
        <f>Table1[[#This Row],[Base_Salary]]/22*Table1[[#This Row],[Work_Days]]+Table1[[#This Row],[Tiền thưởng]]</f>
        <v>8800000</v>
      </c>
      <c r="H57" s="2" t="s">
        <v>6</v>
      </c>
    </row>
    <row r="58" spans="1:8" ht="13" x14ac:dyDescent="0.15">
      <c r="A58" s="2" t="s">
        <v>69</v>
      </c>
      <c r="B58" s="2" t="s">
        <v>15</v>
      </c>
      <c r="C58" s="2">
        <v>15000000</v>
      </c>
      <c r="D58" s="2">
        <v>22</v>
      </c>
      <c r="E58" s="2" t="s">
        <v>7</v>
      </c>
      <c r="F58" s="2">
        <f>IF(Table1[[#This Row],[Rating]]="A",Table1[[#This Row],[Base_Salary]]*0.1,IF(E58="B",C58*0.05,0))</f>
        <v>750000</v>
      </c>
      <c r="G58" s="2">
        <f>Table1[[#This Row],[Base_Salary]]/22*Table1[[#This Row],[Work_Days]]+Table1[[#This Row],[Tiền thưởng]]</f>
        <v>15749999.999999998</v>
      </c>
      <c r="H58" s="2" t="s">
        <v>6</v>
      </c>
    </row>
    <row r="59" spans="1:8" ht="13" x14ac:dyDescent="0.15">
      <c r="A59" s="2" t="s">
        <v>70</v>
      </c>
      <c r="B59" s="2" t="s">
        <v>11</v>
      </c>
      <c r="C59" s="3">
        <v>12500000</v>
      </c>
      <c r="D59" s="2">
        <v>21</v>
      </c>
      <c r="F59">
        <f>IF(Table1[[#This Row],[Rating]]="A",Table1[[#This Row],[Base_Salary]]*0.1,IF(E59="B",C59*0.05,0))</f>
        <v>0</v>
      </c>
      <c r="G59">
        <f>Table1[[#This Row],[Base_Salary]]/22*Table1[[#This Row],[Work_Days]]+Table1[[#This Row],[Tiền thưởng]]</f>
        <v>11931818.181818184</v>
      </c>
      <c r="H59" s="2" t="s">
        <v>6</v>
      </c>
    </row>
    <row r="60" spans="1:8" ht="13" x14ac:dyDescent="0.15">
      <c r="A60" s="2" t="s">
        <v>71</v>
      </c>
      <c r="B60" s="2" t="s">
        <v>13</v>
      </c>
      <c r="C60" s="2">
        <v>20000000</v>
      </c>
      <c r="D60" s="2">
        <v>20</v>
      </c>
      <c r="E60" s="2" t="s">
        <v>8</v>
      </c>
      <c r="F60" s="2">
        <f>IF(Table1[[#This Row],[Rating]]="A",Table1[[#This Row],[Base_Salary]]*0.1,IF(E60="B",C60*0.05,0))</f>
        <v>0</v>
      </c>
      <c r="G60" s="2">
        <f>Table1[[#This Row],[Base_Salary]]/22*Table1[[#This Row],[Work_Days]]+Table1[[#This Row],[Tiền thưởng]]</f>
        <v>18181818.18181818</v>
      </c>
      <c r="H60" s="2" t="s">
        <v>6</v>
      </c>
    </row>
    <row r="61" spans="1:8" ht="13" x14ac:dyDescent="0.15">
      <c r="A61" s="2" t="s">
        <v>72</v>
      </c>
      <c r="B61" s="2" t="s">
        <v>15</v>
      </c>
      <c r="C61" s="2">
        <v>8000000</v>
      </c>
      <c r="D61" s="2">
        <v>22</v>
      </c>
      <c r="E61" s="2" t="s">
        <v>5</v>
      </c>
      <c r="F61" s="2">
        <f>IF(Table1[[#This Row],[Rating]]="A",Table1[[#This Row],[Base_Salary]]*0.1,IF(E61="B",C61*0.05,0))</f>
        <v>800000</v>
      </c>
      <c r="G61" s="2">
        <f>Table1[[#This Row],[Base_Salary]]/22*Table1[[#This Row],[Work_Days]]+Table1[[#This Row],[Tiền thưởng]]</f>
        <v>8800000</v>
      </c>
      <c r="H61" s="2" t="s">
        <v>6</v>
      </c>
    </row>
    <row r="62" spans="1:8" ht="13" x14ac:dyDescent="0.15">
      <c r="A62" s="2" t="s">
        <v>73</v>
      </c>
      <c r="B62" s="2" t="s">
        <v>11</v>
      </c>
      <c r="C62" s="2">
        <v>15000000</v>
      </c>
      <c r="D62" s="2">
        <v>22</v>
      </c>
      <c r="E62" s="2" t="s">
        <v>7</v>
      </c>
      <c r="F62" s="2">
        <f>IF(Table1[[#This Row],[Rating]]="A",Table1[[#This Row],[Base_Salary]]*0.1,IF(E62="B",C62*0.05,0))</f>
        <v>750000</v>
      </c>
      <c r="G62" s="2">
        <f>Table1[[#This Row],[Base_Salary]]/22*Table1[[#This Row],[Work_Days]]+Table1[[#This Row],[Tiền thưởng]]</f>
        <v>15749999.999999998</v>
      </c>
      <c r="H62" s="2" t="s">
        <v>6</v>
      </c>
    </row>
    <row r="63" spans="1:8" ht="13" x14ac:dyDescent="0.15">
      <c r="A63" s="2" t="s">
        <v>74</v>
      </c>
      <c r="B63" s="2" t="s">
        <v>13</v>
      </c>
      <c r="C63" s="3">
        <v>12500000</v>
      </c>
      <c r="D63" s="2">
        <v>21</v>
      </c>
      <c r="E63" s="2" t="s">
        <v>8</v>
      </c>
      <c r="F63" s="2">
        <f>IF(Table1[[#This Row],[Rating]]="A",Table1[[#This Row],[Base_Salary]]*0.1,IF(E63="B",C63*0.05,0))</f>
        <v>0</v>
      </c>
      <c r="G63" s="2">
        <f>Table1[[#This Row],[Base_Salary]]/22*Table1[[#This Row],[Work_Days]]+Table1[[#This Row],[Tiền thưởng]]</f>
        <v>11931818.181818184</v>
      </c>
      <c r="H63" s="2" t="s">
        <v>6</v>
      </c>
    </row>
    <row r="64" spans="1:8" ht="13" x14ac:dyDescent="0.15">
      <c r="A64" s="2" t="s">
        <v>75</v>
      </c>
      <c r="B64" s="2" t="s">
        <v>15</v>
      </c>
      <c r="C64" s="2">
        <v>20000000</v>
      </c>
      <c r="D64" s="2">
        <v>20</v>
      </c>
      <c r="E64" s="2" t="s">
        <v>5</v>
      </c>
      <c r="F64" s="2">
        <f>IF(Table1[[#This Row],[Rating]]="A",Table1[[#This Row],[Base_Salary]]*0.1,IF(E64="B",C64*0.05,0))</f>
        <v>2000000</v>
      </c>
      <c r="G64" s="2">
        <f>Table1[[#This Row],[Base_Salary]]/22*Table1[[#This Row],[Work_Days]]+Table1[[#This Row],[Tiền thưởng]]</f>
        <v>20181818.18181818</v>
      </c>
      <c r="H64" s="2" t="s">
        <v>6</v>
      </c>
    </row>
    <row r="65" spans="1:8" ht="13" x14ac:dyDescent="0.15">
      <c r="A65" s="2" t="s">
        <v>76</v>
      </c>
      <c r="B65" s="2" t="s">
        <v>11</v>
      </c>
      <c r="C65" s="2">
        <v>8000000</v>
      </c>
      <c r="D65" s="2">
        <v>22</v>
      </c>
      <c r="E65" s="2" t="s">
        <v>7</v>
      </c>
      <c r="F65" s="2">
        <f>IF(Table1[[#This Row],[Rating]]="A",Table1[[#This Row],[Base_Salary]]*0.1,IF(E65="B",C65*0.05,0))</f>
        <v>400000</v>
      </c>
      <c r="G65" s="2">
        <f>Table1[[#This Row],[Base_Salary]]/22*Table1[[#This Row],[Work_Days]]+Table1[[#This Row],[Tiền thưởng]]</f>
        <v>8400000</v>
      </c>
      <c r="H65" s="2" t="s">
        <v>6</v>
      </c>
    </row>
    <row r="66" spans="1:8" ht="13" x14ac:dyDescent="0.15">
      <c r="A66" s="2" t="s">
        <v>77</v>
      </c>
      <c r="B66" s="2" t="s">
        <v>13</v>
      </c>
      <c r="C66" s="2">
        <v>15000000</v>
      </c>
      <c r="D66" s="2">
        <v>22</v>
      </c>
      <c r="F66">
        <f>IF(Table1[[#This Row],[Rating]]="A",Table1[[#This Row],[Base_Salary]]*0.1,IF(E66="B",C66*0.05,0))</f>
        <v>0</v>
      </c>
      <c r="G66">
        <f>Table1[[#This Row],[Base_Salary]]/22*Table1[[#This Row],[Work_Days]]+Table1[[#This Row],[Tiền thưởng]]</f>
        <v>14999999.999999998</v>
      </c>
      <c r="H66" s="2" t="s">
        <v>6</v>
      </c>
    </row>
    <row r="67" spans="1:8" ht="13" x14ac:dyDescent="0.15">
      <c r="A67" s="2" t="s">
        <v>78</v>
      </c>
      <c r="B67" s="2" t="s">
        <v>15</v>
      </c>
      <c r="C67" s="3">
        <v>12500000</v>
      </c>
      <c r="D67" s="2">
        <v>21</v>
      </c>
      <c r="E67" s="2" t="s">
        <v>8</v>
      </c>
      <c r="F67" s="2">
        <f>IF(Table1[[#This Row],[Rating]]="A",Table1[[#This Row],[Base_Salary]]*0.1,IF(E67="B",C67*0.05,0))</f>
        <v>0</v>
      </c>
      <c r="G67" s="2">
        <f>Table1[[#This Row],[Base_Salary]]/22*Table1[[#This Row],[Work_Days]]+Table1[[#This Row],[Tiền thưởng]]</f>
        <v>11931818.181818184</v>
      </c>
      <c r="H67" s="2" t="s">
        <v>6</v>
      </c>
    </row>
    <row r="68" spans="1:8" ht="13" x14ac:dyDescent="0.15">
      <c r="A68" s="2" t="s">
        <v>79</v>
      </c>
      <c r="B68" s="2" t="s">
        <v>11</v>
      </c>
      <c r="C68" s="2">
        <v>20000000</v>
      </c>
      <c r="D68" s="2">
        <v>20</v>
      </c>
      <c r="E68" s="2" t="s">
        <v>5</v>
      </c>
      <c r="F68" s="2">
        <f>IF(Table1[[#This Row],[Rating]]="A",Table1[[#This Row],[Base_Salary]]*0.1,IF(E68="B",C68*0.05,0))</f>
        <v>2000000</v>
      </c>
      <c r="G68" s="2">
        <f>Table1[[#This Row],[Base_Salary]]/22*Table1[[#This Row],[Work_Days]]+Table1[[#This Row],[Tiền thưởng]]</f>
        <v>20181818.18181818</v>
      </c>
      <c r="H68" s="2" t="s">
        <v>6</v>
      </c>
    </row>
    <row r="69" spans="1:8" ht="13" x14ac:dyDescent="0.15">
      <c r="A69" s="2" t="s">
        <v>80</v>
      </c>
      <c r="B69" s="2" t="s">
        <v>13</v>
      </c>
      <c r="C69" s="2">
        <v>8000000</v>
      </c>
      <c r="D69" s="2">
        <v>22</v>
      </c>
      <c r="E69" s="2" t="s">
        <v>7</v>
      </c>
      <c r="F69" s="2">
        <f>IF(Table1[[#This Row],[Rating]]="A",Table1[[#This Row],[Base_Salary]]*0.1,IF(E69="B",C69*0.05,0))</f>
        <v>400000</v>
      </c>
      <c r="G69" s="2">
        <f>Table1[[#This Row],[Base_Salary]]/22*Table1[[#This Row],[Work_Days]]+Table1[[#This Row],[Tiền thưởng]]</f>
        <v>8400000</v>
      </c>
      <c r="H69" s="2" t="s">
        <v>6</v>
      </c>
    </row>
    <row r="70" spans="1:8" ht="13" x14ac:dyDescent="0.15">
      <c r="A70" s="2" t="s">
        <v>81</v>
      </c>
      <c r="B70" s="2" t="s">
        <v>15</v>
      </c>
      <c r="C70" s="2">
        <v>15000000</v>
      </c>
      <c r="D70" s="2">
        <v>22</v>
      </c>
      <c r="E70" s="2" t="s">
        <v>8</v>
      </c>
      <c r="F70" s="2">
        <f>IF(Table1[[#This Row],[Rating]]="A",Table1[[#This Row],[Base_Salary]]*0.1,IF(E70="B",C70*0.05,0))</f>
        <v>0</v>
      </c>
      <c r="G70" s="2">
        <f>Table1[[#This Row],[Base_Salary]]/22*Table1[[#This Row],[Work_Days]]+Table1[[#This Row],[Tiền thưởng]]</f>
        <v>14999999.999999998</v>
      </c>
      <c r="H70" s="2" t="s">
        <v>6</v>
      </c>
    </row>
    <row r="71" spans="1:8" ht="13" x14ac:dyDescent="0.15">
      <c r="A71" s="2" t="s">
        <v>82</v>
      </c>
      <c r="B71" s="2" t="s">
        <v>11</v>
      </c>
      <c r="C71" s="3">
        <v>12500000</v>
      </c>
      <c r="D71" s="2">
        <v>21</v>
      </c>
      <c r="E71" s="2" t="s">
        <v>5</v>
      </c>
      <c r="F71" s="2">
        <f>IF(Table1[[#This Row],[Rating]]="A",Table1[[#This Row],[Base_Salary]]*0.1,IF(E71="B",C71*0.05,0))</f>
        <v>1250000</v>
      </c>
      <c r="G71" s="2">
        <f>Table1[[#This Row],[Base_Salary]]/22*Table1[[#This Row],[Work_Days]]+Table1[[#This Row],[Tiền thưởng]]</f>
        <v>13181818.181818184</v>
      </c>
      <c r="H71" s="2" t="s">
        <v>6</v>
      </c>
    </row>
    <row r="72" spans="1:8" ht="13" x14ac:dyDescent="0.15">
      <c r="A72" s="2" t="s">
        <v>83</v>
      </c>
      <c r="B72" s="2" t="s">
        <v>13</v>
      </c>
      <c r="C72" s="2">
        <v>20000000</v>
      </c>
      <c r="D72" s="2">
        <v>20</v>
      </c>
      <c r="E72" s="2" t="s">
        <v>7</v>
      </c>
      <c r="F72" s="2">
        <f>IF(Table1[[#This Row],[Rating]]="A",Table1[[#This Row],[Base_Salary]]*0.1,IF(E72="B",C72*0.05,0))</f>
        <v>1000000</v>
      </c>
      <c r="G72" s="2">
        <f>Table1[[#This Row],[Base_Salary]]/22*Table1[[#This Row],[Work_Days]]+Table1[[#This Row],[Tiền thưởng]]</f>
        <v>19181818.18181818</v>
      </c>
      <c r="H72" s="2" t="s">
        <v>6</v>
      </c>
    </row>
    <row r="73" spans="1:8" ht="13" x14ac:dyDescent="0.15">
      <c r="A73" s="2" t="s">
        <v>84</v>
      </c>
      <c r="B73" s="2" t="s">
        <v>15</v>
      </c>
      <c r="C73" s="2">
        <v>8000000</v>
      </c>
      <c r="D73" s="2">
        <v>22</v>
      </c>
      <c r="F73">
        <f>IF(Table1[[#This Row],[Rating]]="A",Table1[[#This Row],[Base_Salary]]*0.1,IF(E73="B",C73*0.05,0))</f>
        <v>0</v>
      </c>
      <c r="G73">
        <f>Table1[[#This Row],[Base_Salary]]/22*Table1[[#This Row],[Work_Days]]+Table1[[#This Row],[Tiền thưởng]]</f>
        <v>8000000</v>
      </c>
      <c r="H73" s="2" t="s">
        <v>6</v>
      </c>
    </row>
    <row r="74" spans="1:8" ht="13" x14ac:dyDescent="0.15">
      <c r="A74" s="2" t="s">
        <v>85</v>
      </c>
      <c r="B74" s="2" t="s">
        <v>11</v>
      </c>
      <c r="C74" s="2">
        <v>15000000</v>
      </c>
      <c r="D74" s="2">
        <v>22</v>
      </c>
      <c r="E74" s="2" t="s">
        <v>8</v>
      </c>
      <c r="F74" s="2">
        <f>IF(Table1[[#This Row],[Rating]]="A",Table1[[#This Row],[Base_Salary]]*0.1,IF(E74="B",C74*0.05,0))</f>
        <v>0</v>
      </c>
      <c r="G74" s="2">
        <f>Table1[[#This Row],[Base_Salary]]/22*Table1[[#This Row],[Work_Days]]+Table1[[#This Row],[Tiền thưởng]]</f>
        <v>14999999.999999998</v>
      </c>
      <c r="H74" s="2" t="s">
        <v>6</v>
      </c>
    </row>
    <row r="75" spans="1:8" ht="13" x14ac:dyDescent="0.15">
      <c r="A75" s="2" t="s">
        <v>86</v>
      </c>
      <c r="B75" s="2" t="s">
        <v>13</v>
      </c>
      <c r="C75" s="3">
        <v>12500000</v>
      </c>
      <c r="D75" s="2">
        <v>21</v>
      </c>
      <c r="E75" s="2" t="s">
        <v>5</v>
      </c>
      <c r="F75" s="2">
        <f>IF(Table1[[#This Row],[Rating]]="A",Table1[[#This Row],[Base_Salary]]*0.1,IF(E75="B",C75*0.05,0))</f>
        <v>1250000</v>
      </c>
      <c r="G75" s="2">
        <f>Table1[[#This Row],[Base_Salary]]/22*Table1[[#This Row],[Work_Days]]+Table1[[#This Row],[Tiền thưởng]]</f>
        <v>13181818.181818184</v>
      </c>
      <c r="H75" s="2" t="s">
        <v>6</v>
      </c>
    </row>
    <row r="76" spans="1:8" ht="13" x14ac:dyDescent="0.15">
      <c r="A76" s="2" t="s">
        <v>87</v>
      </c>
      <c r="B76" s="2" t="s">
        <v>15</v>
      </c>
      <c r="C76" s="2">
        <v>20000000</v>
      </c>
      <c r="D76" s="2">
        <v>20</v>
      </c>
      <c r="E76" s="2" t="s">
        <v>7</v>
      </c>
      <c r="F76" s="2">
        <f>IF(Table1[[#This Row],[Rating]]="A",Table1[[#This Row],[Base_Salary]]*0.1,IF(E76="B",C76*0.05,0))</f>
        <v>1000000</v>
      </c>
      <c r="G76" s="2">
        <f>Table1[[#This Row],[Base_Salary]]/22*Table1[[#This Row],[Work_Days]]+Table1[[#This Row],[Tiền thưởng]]</f>
        <v>19181818.18181818</v>
      </c>
      <c r="H76" s="2" t="s">
        <v>6</v>
      </c>
    </row>
    <row r="77" spans="1:8" ht="13" x14ac:dyDescent="0.15">
      <c r="A77" s="2" t="s">
        <v>88</v>
      </c>
      <c r="B77" s="2" t="s">
        <v>11</v>
      </c>
      <c r="C77" s="2">
        <v>8000000</v>
      </c>
      <c r="D77" s="2">
        <v>22</v>
      </c>
      <c r="E77" s="2" t="s">
        <v>8</v>
      </c>
      <c r="F77" s="2">
        <f>IF(Table1[[#This Row],[Rating]]="A",Table1[[#This Row],[Base_Salary]]*0.1,IF(E77="B",C77*0.05,0))</f>
        <v>0</v>
      </c>
      <c r="G77" s="2">
        <f>Table1[[#This Row],[Base_Salary]]/22*Table1[[#This Row],[Work_Days]]+Table1[[#This Row],[Tiền thưởng]]</f>
        <v>8000000</v>
      </c>
      <c r="H77" s="2" t="s">
        <v>6</v>
      </c>
    </row>
    <row r="78" spans="1:8" ht="13" x14ac:dyDescent="0.15">
      <c r="A78" s="2" t="s">
        <v>89</v>
      </c>
      <c r="B78" s="2" t="s">
        <v>13</v>
      </c>
      <c r="C78" s="2">
        <v>15000000</v>
      </c>
      <c r="D78" s="2">
        <v>22</v>
      </c>
      <c r="E78" s="2" t="s">
        <v>5</v>
      </c>
      <c r="F78" s="2">
        <f>IF(Table1[[#This Row],[Rating]]="A",Table1[[#This Row],[Base_Salary]]*0.1,IF(E78="B",C78*0.05,0))</f>
        <v>1500000</v>
      </c>
      <c r="G78" s="2">
        <f>Table1[[#This Row],[Base_Salary]]/22*Table1[[#This Row],[Work_Days]]+Table1[[#This Row],[Tiền thưởng]]</f>
        <v>16499999.999999998</v>
      </c>
      <c r="H78" s="2" t="s">
        <v>6</v>
      </c>
    </row>
    <row r="79" spans="1:8" ht="13" x14ac:dyDescent="0.15">
      <c r="A79" s="2" t="s">
        <v>90</v>
      </c>
      <c r="B79" s="2" t="s">
        <v>15</v>
      </c>
      <c r="C79" s="3">
        <v>12500000</v>
      </c>
      <c r="D79" s="2">
        <v>21</v>
      </c>
      <c r="E79" s="2" t="s">
        <v>7</v>
      </c>
      <c r="F79" s="2">
        <f>IF(Table1[[#This Row],[Rating]]="A",Table1[[#This Row],[Base_Salary]]*0.1,IF(E79="B",C79*0.05,0))</f>
        <v>625000</v>
      </c>
      <c r="G79" s="2">
        <f>Table1[[#This Row],[Base_Salary]]/22*Table1[[#This Row],[Work_Days]]+Table1[[#This Row],[Tiền thưởng]]</f>
        <v>12556818.181818184</v>
      </c>
      <c r="H79" s="2" t="s">
        <v>6</v>
      </c>
    </row>
    <row r="80" spans="1:8" ht="13" x14ac:dyDescent="0.15">
      <c r="A80" s="2" t="s">
        <v>91</v>
      </c>
      <c r="B80" s="2" t="s">
        <v>11</v>
      </c>
      <c r="C80" s="2">
        <v>20000000</v>
      </c>
      <c r="D80" s="2">
        <v>20</v>
      </c>
      <c r="F80">
        <f>IF(Table1[[#This Row],[Rating]]="A",Table1[[#This Row],[Base_Salary]]*0.1,IF(E80="B",C80*0.05,0))</f>
        <v>0</v>
      </c>
      <c r="G80">
        <f>Table1[[#This Row],[Base_Salary]]/22*Table1[[#This Row],[Work_Days]]+Table1[[#This Row],[Tiền thưởng]]</f>
        <v>18181818.18181818</v>
      </c>
      <c r="H80" s="2" t="s">
        <v>6</v>
      </c>
    </row>
    <row r="81" spans="1:8" ht="13" x14ac:dyDescent="0.15">
      <c r="A81" s="2" t="s">
        <v>92</v>
      </c>
      <c r="B81" s="2" t="s">
        <v>13</v>
      </c>
      <c r="C81" s="2">
        <v>8000000</v>
      </c>
      <c r="D81" s="2">
        <v>22</v>
      </c>
      <c r="E81" s="2" t="s">
        <v>8</v>
      </c>
      <c r="F81" s="2">
        <f>IF(Table1[[#This Row],[Rating]]="A",Table1[[#This Row],[Base_Salary]]*0.1,IF(E81="B",C81*0.05,0))</f>
        <v>0</v>
      </c>
      <c r="G81" s="2">
        <f>Table1[[#This Row],[Base_Salary]]/22*Table1[[#This Row],[Work_Days]]+Table1[[#This Row],[Tiền thưởng]]</f>
        <v>8000000</v>
      </c>
      <c r="H81" s="2" t="s">
        <v>6</v>
      </c>
    </row>
    <row r="82" spans="1:8" ht="13" x14ac:dyDescent="0.15">
      <c r="A82" s="2" t="s">
        <v>93</v>
      </c>
      <c r="B82" s="2" t="s">
        <v>15</v>
      </c>
      <c r="C82" s="2">
        <v>15000000</v>
      </c>
      <c r="D82" s="2">
        <v>22</v>
      </c>
      <c r="E82" s="2" t="s">
        <v>5</v>
      </c>
      <c r="F82" s="2">
        <f>IF(Table1[[#This Row],[Rating]]="A",Table1[[#This Row],[Base_Salary]]*0.1,IF(E82="B",C82*0.05,0))</f>
        <v>1500000</v>
      </c>
      <c r="G82" s="2">
        <f>Table1[[#This Row],[Base_Salary]]/22*Table1[[#This Row],[Work_Days]]+Table1[[#This Row],[Tiền thưởng]]</f>
        <v>16499999.999999998</v>
      </c>
      <c r="H82" s="2" t="s">
        <v>6</v>
      </c>
    </row>
    <row r="83" spans="1:8" ht="13" x14ac:dyDescent="0.15">
      <c r="A83" s="2" t="s">
        <v>94</v>
      </c>
      <c r="B83" s="2" t="s">
        <v>11</v>
      </c>
      <c r="C83" s="3">
        <v>12500000</v>
      </c>
      <c r="D83" s="2">
        <v>21</v>
      </c>
      <c r="E83" s="2" t="s">
        <v>7</v>
      </c>
      <c r="F83" s="2">
        <f>IF(Table1[[#This Row],[Rating]]="A",Table1[[#This Row],[Base_Salary]]*0.1,IF(E83="B",C83*0.05,0))</f>
        <v>625000</v>
      </c>
      <c r="G83" s="2">
        <f>Table1[[#This Row],[Base_Salary]]/22*Table1[[#This Row],[Work_Days]]+Table1[[#This Row],[Tiền thưởng]]</f>
        <v>12556818.181818184</v>
      </c>
      <c r="H83" s="2" t="s">
        <v>6</v>
      </c>
    </row>
    <row r="84" spans="1:8" ht="13" x14ac:dyDescent="0.15">
      <c r="A84" s="2" t="s">
        <v>95</v>
      </c>
      <c r="B84" s="2" t="s">
        <v>13</v>
      </c>
      <c r="C84" s="2">
        <v>20000000</v>
      </c>
      <c r="D84" s="2">
        <v>20</v>
      </c>
      <c r="E84" s="2" t="s">
        <v>8</v>
      </c>
      <c r="F84" s="2">
        <f>IF(Table1[[#This Row],[Rating]]="A",Table1[[#This Row],[Base_Salary]]*0.1,IF(E84="B",C84*0.05,0))</f>
        <v>0</v>
      </c>
      <c r="G84" s="2">
        <f>Table1[[#This Row],[Base_Salary]]/22*Table1[[#This Row],[Work_Days]]+Table1[[#This Row],[Tiền thưởng]]</f>
        <v>18181818.18181818</v>
      </c>
      <c r="H84" s="2" t="s">
        <v>6</v>
      </c>
    </row>
    <row r="85" spans="1:8" ht="13" x14ac:dyDescent="0.15">
      <c r="A85" s="2" t="s">
        <v>96</v>
      </c>
      <c r="B85" s="2" t="s">
        <v>15</v>
      </c>
      <c r="C85" s="2">
        <v>8000000</v>
      </c>
      <c r="D85" s="2">
        <v>22</v>
      </c>
      <c r="E85" s="2" t="s">
        <v>5</v>
      </c>
      <c r="F85" s="2">
        <f>IF(Table1[[#This Row],[Rating]]="A",Table1[[#This Row],[Base_Salary]]*0.1,IF(E85="B",C85*0.05,0))</f>
        <v>800000</v>
      </c>
      <c r="G85" s="2">
        <f>Table1[[#This Row],[Base_Salary]]/22*Table1[[#This Row],[Work_Days]]+Table1[[#This Row],[Tiền thưởng]]</f>
        <v>8800000</v>
      </c>
      <c r="H85" s="2" t="s">
        <v>6</v>
      </c>
    </row>
    <row r="86" spans="1:8" ht="13" x14ac:dyDescent="0.15">
      <c r="A86" s="2" t="s">
        <v>97</v>
      </c>
      <c r="B86" s="2" t="s">
        <v>11</v>
      </c>
      <c r="C86" s="2">
        <v>15000000</v>
      </c>
      <c r="D86" s="2">
        <v>22</v>
      </c>
      <c r="E86" s="2" t="s">
        <v>7</v>
      </c>
      <c r="F86" s="2">
        <f>IF(Table1[[#This Row],[Rating]]="A",Table1[[#This Row],[Base_Salary]]*0.1,IF(E86="B",C86*0.05,0))</f>
        <v>750000</v>
      </c>
      <c r="G86" s="2">
        <f>Table1[[#This Row],[Base_Salary]]/22*Table1[[#This Row],[Work_Days]]+Table1[[#This Row],[Tiền thưởng]]</f>
        <v>15749999.999999998</v>
      </c>
      <c r="H86" s="2" t="s">
        <v>6</v>
      </c>
    </row>
    <row r="87" spans="1:8" ht="13" x14ac:dyDescent="0.15">
      <c r="A87" s="2" t="s">
        <v>98</v>
      </c>
      <c r="B87" s="2" t="s">
        <v>13</v>
      </c>
      <c r="C87" s="3">
        <v>12500000</v>
      </c>
      <c r="D87" s="2">
        <v>21</v>
      </c>
      <c r="F87">
        <f>IF(Table1[[#This Row],[Rating]]="A",Table1[[#This Row],[Base_Salary]]*0.1,IF(E87="B",C87*0.05,0))</f>
        <v>0</v>
      </c>
      <c r="G87">
        <f>Table1[[#This Row],[Base_Salary]]/22*Table1[[#This Row],[Work_Days]]+Table1[[#This Row],[Tiền thưởng]]</f>
        <v>11931818.181818184</v>
      </c>
      <c r="H87" s="2" t="s">
        <v>6</v>
      </c>
    </row>
    <row r="88" spans="1:8" ht="13" x14ac:dyDescent="0.15">
      <c r="A88" s="2" t="s">
        <v>99</v>
      </c>
      <c r="B88" s="2" t="s">
        <v>15</v>
      </c>
      <c r="C88" s="2">
        <v>20000000</v>
      </c>
      <c r="D88" s="2">
        <v>20</v>
      </c>
      <c r="E88" s="2" t="s">
        <v>8</v>
      </c>
      <c r="F88" s="2">
        <f>IF(Table1[[#This Row],[Rating]]="A",Table1[[#This Row],[Base_Salary]]*0.1,IF(E88="B",C88*0.05,0))</f>
        <v>0</v>
      </c>
      <c r="G88" s="2">
        <f>Table1[[#This Row],[Base_Salary]]/22*Table1[[#This Row],[Work_Days]]+Table1[[#This Row],[Tiền thưởng]]</f>
        <v>18181818.18181818</v>
      </c>
      <c r="H88" s="2" t="s">
        <v>6</v>
      </c>
    </row>
    <row r="89" spans="1:8" ht="13" x14ac:dyDescent="0.15">
      <c r="A89" s="2" t="s">
        <v>100</v>
      </c>
      <c r="B89" s="2" t="s">
        <v>13</v>
      </c>
      <c r="C89" s="3">
        <v>12500000</v>
      </c>
      <c r="D89" s="2">
        <v>21</v>
      </c>
      <c r="E89" s="2" t="s">
        <v>5</v>
      </c>
      <c r="F89" s="2">
        <f>IF(Table1[[#This Row],[Rating]]="A",Table1[[#This Row],[Base_Salary]]*0.1,IF(E89="B",C89*0.05,0))</f>
        <v>1250000</v>
      </c>
      <c r="G89" s="2">
        <f>Table1[[#This Row],[Base_Salary]]/22*Table1[[#This Row],[Work_Days]]+Table1[[#This Row],[Tiền thưởng]]</f>
        <v>13181818.181818184</v>
      </c>
      <c r="H89" s="2" t="s">
        <v>6</v>
      </c>
    </row>
    <row r="90" spans="1:8" ht="13" x14ac:dyDescent="0.15">
      <c r="A90" s="2" t="s">
        <v>101</v>
      </c>
      <c r="B90" s="2" t="s">
        <v>15</v>
      </c>
      <c r="C90" s="2">
        <v>20000000</v>
      </c>
      <c r="D90" s="2">
        <v>20</v>
      </c>
      <c r="E90" s="2" t="s">
        <v>7</v>
      </c>
      <c r="F90" s="2">
        <f>IF(Table1[[#This Row],[Rating]]="A",Table1[[#This Row],[Base_Salary]]*0.1,IF(E90="B",C90*0.05,0))</f>
        <v>1000000</v>
      </c>
      <c r="G90" s="2">
        <f>Table1[[#This Row],[Base_Salary]]/22*Table1[[#This Row],[Work_Days]]+Table1[[#This Row],[Tiền thưởng]]</f>
        <v>19181818.18181818</v>
      </c>
      <c r="H90" s="2" t="s">
        <v>6</v>
      </c>
    </row>
    <row r="91" spans="1:8" ht="13" x14ac:dyDescent="0.15">
      <c r="A91" s="2" t="s">
        <v>102</v>
      </c>
      <c r="B91" s="2" t="s">
        <v>11</v>
      </c>
      <c r="C91" s="2">
        <v>8000000</v>
      </c>
      <c r="D91" s="2">
        <v>22</v>
      </c>
      <c r="E91" s="2" t="s">
        <v>8</v>
      </c>
      <c r="F91" s="2">
        <f>IF(Table1[[#This Row],[Rating]]="A",Table1[[#This Row],[Base_Salary]]*0.1,IF(E91="B",C91*0.05,0))</f>
        <v>0</v>
      </c>
      <c r="G91" s="2">
        <f>Table1[[#This Row],[Base_Salary]]/22*Table1[[#This Row],[Work_Days]]+Table1[[#This Row],[Tiền thưởng]]</f>
        <v>8000000</v>
      </c>
      <c r="H91" s="2" t="s">
        <v>6</v>
      </c>
    </row>
    <row r="92" spans="1:8" ht="13" x14ac:dyDescent="0.15">
      <c r="A92" s="2" t="s">
        <v>103</v>
      </c>
      <c r="B92" s="2" t="s">
        <v>13</v>
      </c>
      <c r="C92" s="2">
        <v>15000000</v>
      </c>
      <c r="D92" s="2">
        <v>22</v>
      </c>
      <c r="F92">
        <f>IF(Table1[[#This Row],[Rating]]="A",Table1[[#This Row],[Base_Salary]]*0.1,IF(E92="B",C92*0.05,0))</f>
        <v>0</v>
      </c>
      <c r="G92">
        <f>Table1[[#This Row],[Base_Salary]]/22*Table1[[#This Row],[Work_Days]]+Table1[[#This Row],[Tiền thưởng]]</f>
        <v>14999999.999999998</v>
      </c>
      <c r="H92" s="2" t="s">
        <v>6</v>
      </c>
    </row>
    <row r="93" spans="1:8" ht="13" x14ac:dyDescent="0.15">
      <c r="A93" s="2" t="s">
        <v>104</v>
      </c>
      <c r="B93" s="2" t="s">
        <v>15</v>
      </c>
      <c r="C93" s="3">
        <v>12500000</v>
      </c>
      <c r="D93" s="2">
        <v>21</v>
      </c>
      <c r="E93" s="2" t="s">
        <v>5</v>
      </c>
      <c r="F93" s="2">
        <f>IF(Table1[[#This Row],[Rating]]="A",Table1[[#This Row],[Base_Salary]]*0.1,IF(E93="B",C93*0.05,0))</f>
        <v>1250000</v>
      </c>
      <c r="G93" s="2">
        <f>Table1[[#This Row],[Base_Salary]]/22*Table1[[#This Row],[Work_Days]]+Table1[[#This Row],[Tiền thưởng]]</f>
        <v>13181818.181818184</v>
      </c>
      <c r="H93" s="2" t="s">
        <v>6</v>
      </c>
    </row>
    <row r="94" spans="1:8" ht="13" x14ac:dyDescent="0.15">
      <c r="A94" s="2" t="s">
        <v>105</v>
      </c>
      <c r="B94" s="2" t="s">
        <v>11</v>
      </c>
      <c r="C94" s="2">
        <v>20000000</v>
      </c>
      <c r="D94" s="2">
        <v>20</v>
      </c>
      <c r="E94" s="2" t="s">
        <v>7</v>
      </c>
      <c r="F94" s="2">
        <f>IF(Table1[[#This Row],[Rating]]="A",Table1[[#This Row],[Base_Salary]]*0.1,IF(E94="B",C94*0.05,0))</f>
        <v>1000000</v>
      </c>
      <c r="G94" s="2">
        <f>Table1[[#This Row],[Base_Salary]]/22*Table1[[#This Row],[Work_Days]]+Table1[[#This Row],[Tiền thưởng]]</f>
        <v>19181818.18181818</v>
      </c>
      <c r="H94" s="2" t="s">
        <v>6</v>
      </c>
    </row>
    <row r="95" spans="1:8" ht="13" x14ac:dyDescent="0.15">
      <c r="A95" s="2" t="s">
        <v>106</v>
      </c>
      <c r="B95" s="2" t="s">
        <v>13</v>
      </c>
      <c r="C95" s="2">
        <v>8000000</v>
      </c>
      <c r="D95" s="2">
        <v>22</v>
      </c>
      <c r="E95" s="2" t="s">
        <v>8</v>
      </c>
      <c r="F95" s="2">
        <f>IF(Table1[[#This Row],[Rating]]="A",Table1[[#This Row],[Base_Salary]]*0.1,IF(E95="B",C95*0.05,0))</f>
        <v>0</v>
      </c>
      <c r="G95" s="2">
        <f>Table1[[#This Row],[Base_Salary]]/22*Table1[[#This Row],[Work_Days]]+Table1[[#This Row],[Tiền thưởng]]</f>
        <v>8000000</v>
      </c>
      <c r="H95" s="2" t="s">
        <v>6</v>
      </c>
    </row>
    <row r="96" spans="1:8" ht="13" x14ac:dyDescent="0.15">
      <c r="A96" s="2" t="s">
        <v>107</v>
      </c>
      <c r="B96" s="2" t="s">
        <v>15</v>
      </c>
      <c r="C96" s="2">
        <v>15000000</v>
      </c>
      <c r="D96" s="2">
        <v>22</v>
      </c>
      <c r="E96" s="2" t="s">
        <v>5</v>
      </c>
      <c r="F96" s="2">
        <f>IF(Table1[[#This Row],[Rating]]="A",Table1[[#This Row],[Base_Salary]]*0.1,IF(E96="B",C96*0.05,0))</f>
        <v>1500000</v>
      </c>
      <c r="G96" s="2">
        <f>Table1[[#This Row],[Base_Salary]]/22*Table1[[#This Row],[Work_Days]]+Table1[[#This Row],[Tiền thưởng]]</f>
        <v>16499999.999999998</v>
      </c>
      <c r="H96" s="2" t="s">
        <v>6</v>
      </c>
    </row>
    <row r="97" spans="1:8" ht="13" x14ac:dyDescent="0.15">
      <c r="A97" s="2" t="s">
        <v>108</v>
      </c>
      <c r="B97" s="2" t="s">
        <v>11</v>
      </c>
      <c r="C97" s="3">
        <v>12500000</v>
      </c>
      <c r="D97" s="2">
        <v>21</v>
      </c>
      <c r="E97" s="2" t="s">
        <v>7</v>
      </c>
      <c r="F97" s="2">
        <f>IF(Table1[[#This Row],[Rating]]="A",Table1[[#This Row],[Base_Salary]]*0.1,IF(E97="B",C97*0.05,0))</f>
        <v>625000</v>
      </c>
      <c r="G97" s="2">
        <f>Table1[[#This Row],[Base_Salary]]/22*Table1[[#This Row],[Work_Days]]+Table1[[#This Row],[Tiền thưởng]]</f>
        <v>12556818.181818184</v>
      </c>
      <c r="H97" s="2" t="s">
        <v>6</v>
      </c>
    </row>
    <row r="98" spans="1:8" ht="13" x14ac:dyDescent="0.15">
      <c r="A98" s="2" t="s">
        <v>109</v>
      </c>
      <c r="B98" s="2" t="s">
        <v>13</v>
      </c>
      <c r="C98" s="2">
        <v>20000000</v>
      </c>
      <c r="D98" s="2">
        <v>20</v>
      </c>
      <c r="E98" s="2" t="s">
        <v>8</v>
      </c>
      <c r="F98" s="2">
        <f>IF(Table1[[#This Row],[Rating]]="A",Table1[[#This Row],[Base_Salary]]*0.1,IF(E98="B",C98*0.05,0))</f>
        <v>0</v>
      </c>
      <c r="G98" s="2">
        <f>Table1[[#This Row],[Base_Salary]]/22*Table1[[#This Row],[Work_Days]]+Table1[[#This Row],[Tiền thưởng]]</f>
        <v>18181818.18181818</v>
      </c>
      <c r="H98" s="2" t="s">
        <v>6</v>
      </c>
    </row>
    <row r="99" spans="1:8" ht="13" x14ac:dyDescent="0.15">
      <c r="A99" s="2" t="s">
        <v>110</v>
      </c>
      <c r="B99" s="2" t="s">
        <v>15</v>
      </c>
      <c r="C99" s="2">
        <v>8000000</v>
      </c>
      <c r="D99" s="2">
        <v>22</v>
      </c>
      <c r="E99" s="2" t="s">
        <v>5</v>
      </c>
      <c r="F99" s="2">
        <f>IF(Table1[[#This Row],[Rating]]="A",Table1[[#This Row],[Base_Salary]]*0.1,IF(E99="B",C99*0.05,0))</f>
        <v>800000</v>
      </c>
      <c r="G99" s="2">
        <f>Table1[[#This Row],[Base_Salary]]/22*Table1[[#This Row],[Work_Days]]+Table1[[#This Row],[Tiền thưởng]]</f>
        <v>8800000</v>
      </c>
      <c r="H99" s="2" t="s">
        <v>6</v>
      </c>
    </row>
    <row r="100" spans="1:8" ht="13" x14ac:dyDescent="0.15">
      <c r="A100" s="2" t="s">
        <v>111</v>
      </c>
      <c r="B100" s="2" t="s">
        <v>11</v>
      </c>
      <c r="C100" s="2">
        <v>15000000</v>
      </c>
      <c r="D100" s="2">
        <v>22</v>
      </c>
      <c r="E100" s="2" t="s">
        <v>7</v>
      </c>
      <c r="F100" s="2">
        <f>IF(Table1[[#This Row],[Rating]]="A",Table1[[#This Row],[Base_Salary]]*0.1,IF(E100="B",C100*0.05,0))</f>
        <v>750000</v>
      </c>
      <c r="G100" s="2">
        <f>Table1[[#This Row],[Base_Salary]]/22*Table1[[#This Row],[Work_Days]]+Table1[[#This Row],[Tiền thưởng]]</f>
        <v>15749999.999999998</v>
      </c>
      <c r="H100" s="2" t="s">
        <v>6</v>
      </c>
    </row>
    <row r="101" spans="1:8" ht="13" x14ac:dyDescent="0.15">
      <c r="A101" s="2" t="s">
        <v>112</v>
      </c>
      <c r="B101" s="2" t="s">
        <v>13</v>
      </c>
      <c r="C101" s="3">
        <v>12500000</v>
      </c>
      <c r="D101" s="2">
        <v>21</v>
      </c>
      <c r="F101">
        <f>IF(Table1[[#This Row],[Rating]]="A",Table1[[#This Row],[Base_Salary]]*0.1,IF(E101="B",C101*0.05,0))</f>
        <v>0</v>
      </c>
      <c r="G101">
        <f>Table1[[#This Row],[Base_Salary]]/22*Table1[[#This Row],[Work_Days]]+Table1[[#This Row],[Tiền thưởng]]</f>
        <v>11931818.181818184</v>
      </c>
      <c r="H101" s="2" t="s">
        <v>6</v>
      </c>
    </row>
    <row r="102" spans="1:8" ht="13" x14ac:dyDescent="0.15">
      <c r="A102" s="2" t="s">
        <v>113</v>
      </c>
      <c r="B102" s="2" t="s">
        <v>15</v>
      </c>
      <c r="C102" s="2">
        <v>20000000</v>
      </c>
      <c r="D102" s="2">
        <v>20</v>
      </c>
      <c r="E102" s="2" t="s">
        <v>5</v>
      </c>
      <c r="F102" s="2">
        <f>IF(Table1[[#This Row],[Rating]]="A",Table1[[#This Row],[Base_Salary]]*0.1,IF(E102="B",C102*0.05,0))</f>
        <v>2000000</v>
      </c>
      <c r="G102" s="2">
        <f>Table1[[#This Row],[Base_Salary]]/22*Table1[[#This Row],[Work_Days]]+Table1[[#This Row],[Tiền thưởng]]</f>
        <v>20181818.18181818</v>
      </c>
      <c r="H102" s="2" t="s">
        <v>6</v>
      </c>
    </row>
    <row r="103" spans="1:8" ht="13" x14ac:dyDescent="0.15">
      <c r="A103" s="2" t="s">
        <v>114</v>
      </c>
      <c r="B103" s="2" t="s">
        <v>11</v>
      </c>
      <c r="C103" s="2">
        <v>8000000</v>
      </c>
      <c r="D103" s="2">
        <v>22</v>
      </c>
      <c r="E103" s="2" t="s">
        <v>7</v>
      </c>
      <c r="F103" s="2">
        <f>IF(Table1[[#This Row],[Rating]]="A",Table1[[#This Row],[Base_Salary]]*0.1,IF(E103="B",C103*0.05,0))</f>
        <v>400000</v>
      </c>
      <c r="G103" s="2">
        <f>Table1[[#This Row],[Base_Salary]]/22*Table1[[#This Row],[Work_Days]]+Table1[[#This Row],[Tiền thưởng]]</f>
        <v>8400000</v>
      </c>
      <c r="H103" s="2" t="s">
        <v>6</v>
      </c>
    </row>
    <row r="104" spans="1:8" ht="13" x14ac:dyDescent="0.15">
      <c r="A104" s="2" t="s">
        <v>115</v>
      </c>
      <c r="B104" s="2" t="s">
        <v>13</v>
      </c>
      <c r="C104" s="2">
        <v>15000000</v>
      </c>
      <c r="D104" s="2">
        <v>22</v>
      </c>
      <c r="E104" s="2" t="s">
        <v>8</v>
      </c>
      <c r="F104" s="2">
        <f>IF(Table1[[#This Row],[Rating]]="A",Table1[[#This Row],[Base_Salary]]*0.1,IF(E104="B",C104*0.05,0))</f>
        <v>0</v>
      </c>
      <c r="G104" s="2">
        <f>Table1[[#This Row],[Base_Salary]]/22*Table1[[#This Row],[Work_Days]]+Table1[[#This Row],[Tiền thưởng]]</f>
        <v>14999999.999999998</v>
      </c>
      <c r="H104" s="2" t="s">
        <v>6</v>
      </c>
    </row>
    <row r="105" spans="1:8" ht="13" x14ac:dyDescent="0.15">
      <c r="A105" s="2" t="s">
        <v>116</v>
      </c>
      <c r="B105" s="2" t="s">
        <v>15</v>
      </c>
      <c r="C105" s="3">
        <v>12500000</v>
      </c>
      <c r="D105" s="2">
        <v>21</v>
      </c>
      <c r="E105" s="2" t="s">
        <v>5</v>
      </c>
      <c r="F105" s="2">
        <f>IF(Table1[[#This Row],[Rating]]="A",Table1[[#This Row],[Base_Salary]]*0.1,IF(E105="B",C105*0.05,0))</f>
        <v>1250000</v>
      </c>
      <c r="G105" s="2">
        <f>Table1[[#This Row],[Base_Salary]]/22*Table1[[#This Row],[Work_Days]]+Table1[[#This Row],[Tiền thưởng]]</f>
        <v>13181818.181818184</v>
      </c>
      <c r="H105" s="2" t="s">
        <v>6</v>
      </c>
    </row>
    <row r="106" spans="1:8" ht="13" x14ac:dyDescent="0.15">
      <c r="A106" s="2" t="s">
        <v>117</v>
      </c>
      <c r="B106" s="2" t="s">
        <v>11</v>
      </c>
      <c r="C106" s="2">
        <v>20000000</v>
      </c>
      <c r="D106" s="2">
        <v>20</v>
      </c>
      <c r="E106" s="2" t="s">
        <v>7</v>
      </c>
      <c r="F106" s="2">
        <f>IF(Table1[[#This Row],[Rating]]="A",Table1[[#This Row],[Base_Salary]]*0.1,IF(E106="B",C106*0.05,0))</f>
        <v>1000000</v>
      </c>
      <c r="G106" s="2">
        <f>Table1[[#This Row],[Base_Salary]]/22*Table1[[#This Row],[Work_Days]]+Table1[[#This Row],[Tiền thưởng]]</f>
        <v>19181818.18181818</v>
      </c>
      <c r="H106" s="2" t="s">
        <v>6</v>
      </c>
    </row>
    <row r="107" spans="1:8" ht="13" x14ac:dyDescent="0.15">
      <c r="A107" s="2" t="s">
        <v>118</v>
      </c>
      <c r="B107" s="2" t="s">
        <v>13</v>
      </c>
      <c r="C107" s="2">
        <v>8000000</v>
      </c>
      <c r="D107" s="2">
        <v>22</v>
      </c>
      <c r="E107" s="2" t="s">
        <v>8</v>
      </c>
      <c r="F107" s="2">
        <f>IF(Table1[[#This Row],[Rating]]="A",Table1[[#This Row],[Base_Salary]]*0.1,IF(E107="B",C107*0.05,0))</f>
        <v>0</v>
      </c>
      <c r="G107" s="2">
        <f>Table1[[#This Row],[Base_Salary]]/22*Table1[[#This Row],[Work_Days]]+Table1[[#This Row],[Tiền thưởng]]</f>
        <v>8000000</v>
      </c>
      <c r="H107" s="2" t="s">
        <v>6</v>
      </c>
    </row>
    <row r="108" spans="1:8" ht="13" x14ac:dyDescent="0.15">
      <c r="A108" s="2" t="s">
        <v>119</v>
      </c>
      <c r="B108" s="2" t="s">
        <v>15</v>
      </c>
      <c r="C108" s="2">
        <v>15000000</v>
      </c>
      <c r="D108" s="2">
        <v>22</v>
      </c>
      <c r="F108">
        <f>IF(Table1[[#This Row],[Rating]]="A",Table1[[#This Row],[Base_Salary]]*0.1,IF(E108="B",C108*0.05,0))</f>
        <v>0</v>
      </c>
      <c r="G108">
        <f>Table1[[#This Row],[Base_Salary]]/22*Table1[[#This Row],[Work_Days]]+Table1[[#This Row],[Tiền thưởng]]</f>
        <v>14999999.999999998</v>
      </c>
      <c r="H108" s="2" t="s">
        <v>6</v>
      </c>
    </row>
    <row r="109" spans="1:8" ht="13" x14ac:dyDescent="0.15">
      <c r="A109" s="2" t="s">
        <v>120</v>
      </c>
      <c r="B109" s="2" t="s">
        <v>11</v>
      </c>
      <c r="C109" s="3">
        <v>12500000</v>
      </c>
      <c r="D109" s="2">
        <v>21</v>
      </c>
      <c r="E109" s="2" t="s">
        <v>5</v>
      </c>
      <c r="F109" s="2">
        <f>IF(Table1[[#This Row],[Rating]]="A",Table1[[#This Row],[Base_Salary]]*0.1,IF(E109="B",C109*0.05,0))</f>
        <v>1250000</v>
      </c>
      <c r="G109" s="2">
        <f>Table1[[#This Row],[Base_Salary]]/22*Table1[[#This Row],[Work_Days]]+Table1[[#This Row],[Tiền thưởng]]</f>
        <v>13181818.181818184</v>
      </c>
      <c r="H109" s="2" t="s">
        <v>6</v>
      </c>
    </row>
    <row r="110" spans="1:8" ht="13" x14ac:dyDescent="0.15">
      <c r="A110" s="2" t="s">
        <v>121</v>
      </c>
      <c r="B110" s="2" t="s">
        <v>13</v>
      </c>
      <c r="C110" s="2">
        <v>20000000</v>
      </c>
      <c r="D110" s="2">
        <v>20</v>
      </c>
      <c r="E110" s="2" t="s">
        <v>7</v>
      </c>
      <c r="F110" s="2">
        <f>IF(Table1[[#This Row],[Rating]]="A",Table1[[#This Row],[Base_Salary]]*0.1,IF(E110="B",C110*0.05,0))</f>
        <v>1000000</v>
      </c>
      <c r="G110" s="2">
        <f>Table1[[#This Row],[Base_Salary]]/22*Table1[[#This Row],[Work_Days]]+Table1[[#This Row],[Tiền thưởng]]</f>
        <v>19181818.18181818</v>
      </c>
      <c r="H110" s="2" t="s">
        <v>6</v>
      </c>
    </row>
    <row r="111" spans="1:8" ht="13" x14ac:dyDescent="0.15">
      <c r="A111" s="2" t="s">
        <v>122</v>
      </c>
      <c r="B111" s="2" t="s">
        <v>15</v>
      </c>
      <c r="C111" s="2">
        <v>8000000</v>
      </c>
      <c r="D111" s="2">
        <v>22</v>
      </c>
      <c r="E111" s="2" t="s">
        <v>8</v>
      </c>
      <c r="F111" s="2">
        <f>IF(Table1[[#This Row],[Rating]]="A",Table1[[#This Row],[Base_Salary]]*0.1,IF(E111="B",C111*0.05,0))</f>
        <v>0</v>
      </c>
      <c r="G111" s="2">
        <f>Table1[[#This Row],[Base_Salary]]/22*Table1[[#This Row],[Work_Days]]+Table1[[#This Row],[Tiền thưởng]]</f>
        <v>8000000</v>
      </c>
      <c r="H111" s="2" t="s">
        <v>6</v>
      </c>
    </row>
    <row r="112" spans="1:8" ht="13" x14ac:dyDescent="0.15">
      <c r="A112" s="2" t="s">
        <v>123</v>
      </c>
      <c r="B112" s="2" t="s">
        <v>11</v>
      </c>
      <c r="C112" s="2">
        <v>15000000</v>
      </c>
      <c r="D112" s="2">
        <v>22</v>
      </c>
      <c r="E112" s="2" t="s">
        <v>5</v>
      </c>
      <c r="F112" s="2">
        <f>IF(Table1[[#This Row],[Rating]]="A",Table1[[#This Row],[Base_Salary]]*0.1,IF(E112="B",C112*0.05,0))</f>
        <v>1500000</v>
      </c>
      <c r="G112" s="2">
        <f>Table1[[#This Row],[Base_Salary]]/22*Table1[[#This Row],[Work_Days]]+Table1[[#This Row],[Tiền thưởng]]</f>
        <v>16499999.999999998</v>
      </c>
      <c r="H112" s="2" t="s">
        <v>6</v>
      </c>
    </row>
    <row r="113" spans="1:8" ht="13" x14ac:dyDescent="0.15">
      <c r="A113" s="2" t="s">
        <v>124</v>
      </c>
      <c r="B113" s="2" t="s">
        <v>13</v>
      </c>
      <c r="C113" s="3">
        <v>12500000</v>
      </c>
      <c r="D113" s="2">
        <v>21</v>
      </c>
      <c r="E113" s="2" t="s">
        <v>7</v>
      </c>
      <c r="F113" s="2">
        <f>IF(Table1[[#This Row],[Rating]]="A",Table1[[#This Row],[Base_Salary]]*0.1,IF(E113="B",C113*0.05,0))</f>
        <v>625000</v>
      </c>
      <c r="G113" s="2">
        <f>Table1[[#This Row],[Base_Salary]]/22*Table1[[#This Row],[Work_Days]]+Table1[[#This Row],[Tiền thưởng]]</f>
        <v>12556818.181818184</v>
      </c>
      <c r="H113" s="2" t="s">
        <v>6</v>
      </c>
    </row>
    <row r="114" spans="1:8" ht="13" x14ac:dyDescent="0.15">
      <c r="A114" s="2" t="s">
        <v>125</v>
      </c>
      <c r="B114" s="2" t="s">
        <v>15</v>
      </c>
      <c r="C114" s="2">
        <v>20000000</v>
      </c>
      <c r="D114" s="2">
        <v>20</v>
      </c>
      <c r="E114" s="2" t="s">
        <v>8</v>
      </c>
      <c r="F114" s="2">
        <f>IF(Table1[[#This Row],[Rating]]="A",Table1[[#This Row],[Base_Salary]]*0.1,IF(E114="B",C114*0.05,0))</f>
        <v>0</v>
      </c>
      <c r="G114" s="2">
        <f>Table1[[#This Row],[Base_Salary]]/22*Table1[[#This Row],[Work_Days]]+Table1[[#This Row],[Tiền thưởng]]</f>
        <v>18181818.18181818</v>
      </c>
      <c r="H114" s="2" t="s">
        <v>6</v>
      </c>
    </row>
    <row r="115" spans="1:8" ht="13" x14ac:dyDescent="0.15">
      <c r="A115" s="2" t="s">
        <v>126</v>
      </c>
      <c r="B115" s="2" t="s">
        <v>11</v>
      </c>
      <c r="C115" s="2">
        <v>8000000</v>
      </c>
      <c r="D115" s="2">
        <v>22</v>
      </c>
      <c r="F115">
        <f>IF(Table1[[#This Row],[Rating]]="A",Table1[[#This Row],[Base_Salary]]*0.1,IF(E115="B",C115*0.05,0))</f>
        <v>0</v>
      </c>
      <c r="G115">
        <f>Table1[[#This Row],[Base_Salary]]/22*Table1[[#This Row],[Work_Days]]+Table1[[#This Row],[Tiền thưởng]]</f>
        <v>8000000</v>
      </c>
      <c r="H115" s="2" t="s">
        <v>6</v>
      </c>
    </row>
    <row r="116" spans="1:8" ht="13" x14ac:dyDescent="0.15">
      <c r="A116" s="2" t="s">
        <v>127</v>
      </c>
      <c r="B116" s="2" t="s">
        <v>13</v>
      </c>
      <c r="C116" s="2">
        <v>15000000</v>
      </c>
      <c r="D116" s="2">
        <v>22</v>
      </c>
      <c r="E116" s="2" t="s">
        <v>5</v>
      </c>
      <c r="F116" s="2">
        <f>IF(Table1[[#This Row],[Rating]]="A",Table1[[#This Row],[Base_Salary]]*0.1,IF(E116="B",C116*0.05,0))</f>
        <v>1500000</v>
      </c>
      <c r="G116" s="2">
        <f>Table1[[#This Row],[Base_Salary]]/22*Table1[[#This Row],[Work_Days]]+Table1[[#This Row],[Tiền thưởng]]</f>
        <v>16499999.999999998</v>
      </c>
      <c r="H116" s="2" t="s">
        <v>6</v>
      </c>
    </row>
    <row r="117" spans="1:8" ht="13" x14ac:dyDescent="0.15">
      <c r="A117" s="2" t="s">
        <v>128</v>
      </c>
      <c r="B117" s="2" t="s">
        <v>15</v>
      </c>
      <c r="C117" s="3">
        <v>12500000</v>
      </c>
      <c r="D117" s="2">
        <v>21</v>
      </c>
      <c r="E117" s="2" t="s">
        <v>7</v>
      </c>
      <c r="F117" s="2">
        <f>IF(Table1[[#This Row],[Rating]]="A",Table1[[#This Row],[Base_Salary]]*0.1,IF(E117="B",C117*0.05,0))</f>
        <v>625000</v>
      </c>
      <c r="G117" s="2">
        <f>Table1[[#This Row],[Base_Salary]]/22*Table1[[#This Row],[Work_Days]]+Table1[[#This Row],[Tiền thưởng]]</f>
        <v>12556818.181818184</v>
      </c>
      <c r="H117" s="2" t="s">
        <v>6</v>
      </c>
    </row>
    <row r="118" spans="1:8" ht="13" x14ac:dyDescent="0.15">
      <c r="A118" s="2" t="s">
        <v>129</v>
      </c>
      <c r="B118" s="2" t="s">
        <v>11</v>
      </c>
      <c r="C118" s="2">
        <v>20000000</v>
      </c>
      <c r="D118" s="2">
        <v>20</v>
      </c>
      <c r="E118" s="2" t="s">
        <v>8</v>
      </c>
      <c r="F118" s="2">
        <f>IF(Table1[[#This Row],[Rating]]="A",Table1[[#This Row],[Base_Salary]]*0.1,IF(E118="B",C118*0.05,0))</f>
        <v>0</v>
      </c>
      <c r="G118" s="2">
        <f>Table1[[#This Row],[Base_Salary]]/22*Table1[[#This Row],[Work_Days]]+Table1[[#This Row],[Tiền thưởng]]</f>
        <v>18181818.18181818</v>
      </c>
      <c r="H118" s="2" t="s">
        <v>6</v>
      </c>
    </row>
    <row r="119" spans="1:8" ht="13" x14ac:dyDescent="0.15">
      <c r="A119" s="2" t="s">
        <v>130</v>
      </c>
      <c r="B119" s="2" t="s">
        <v>13</v>
      </c>
      <c r="C119" s="2">
        <v>8000000</v>
      </c>
      <c r="D119" s="2">
        <v>22</v>
      </c>
      <c r="E119" s="2" t="s">
        <v>5</v>
      </c>
      <c r="F119" s="2">
        <f>IF(Table1[[#This Row],[Rating]]="A",Table1[[#This Row],[Base_Salary]]*0.1,IF(E119="B",C119*0.05,0))</f>
        <v>800000</v>
      </c>
      <c r="G119" s="2">
        <f>Table1[[#This Row],[Base_Salary]]/22*Table1[[#This Row],[Work_Days]]+Table1[[#This Row],[Tiền thưởng]]</f>
        <v>8800000</v>
      </c>
      <c r="H119" s="2" t="s">
        <v>6</v>
      </c>
    </row>
    <row r="120" spans="1:8" ht="13" x14ac:dyDescent="0.15">
      <c r="A120" s="2" t="s">
        <v>131</v>
      </c>
      <c r="B120" s="2" t="s">
        <v>15</v>
      </c>
      <c r="C120" s="2">
        <v>15000000</v>
      </c>
      <c r="D120" s="2">
        <v>22</v>
      </c>
      <c r="E120" s="2" t="s">
        <v>7</v>
      </c>
      <c r="F120" s="2">
        <f>IF(Table1[[#This Row],[Rating]]="A",Table1[[#This Row],[Base_Salary]]*0.1,IF(E120="B",C120*0.05,0))</f>
        <v>750000</v>
      </c>
      <c r="G120" s="2">
        <f>Table1[[#This Row],[Base_Salary]]/22*Table1[[#This Row],[Work_Days]]+Table1[[#This Row],[Tiền thưởng]]</f>
        <v>15749999.999999998</v>
      </c>
      <c r="H120" s="2" t="s">
        <v>6</v>
      </c>
    </row>
    <row r="121" spans="1:8" ht="13" x14ac:dyDescent="0.15">
      <c r="A121" s="2" t="s">
        <v>132</v>
      </c>
      <c r="B121" s="2" t="s">
        <v>11</v>
      </c>
      <c r="C121" s="3">
        <v>12500000</v>
      </c>
      <c r="D121" s="2">
        <v>21</v>
      </c>
      <c r="E121" s="2" t="s">
        <v>8</v>
      </c>
      <c r="F121" s="2">
        <f>IF(Table1[[#This Row],[Rating]]="A",Table1[[#This Row],[Base_Salary]]*0.1,IF(E121="B",C121*0.05,0))</f>
        <v>0</v>
      </c>
      <c r="G121" s="2">
        <f>Table1[[#This Row],[Base_Salary]]/22*Table1[[#This Row],[Work_Days]]+Table1[[#This Row],[Tiền thưởng]]</f>
        <v>11931818.181818184</v>
      </c>
      <c r="H121" s="2" t="s">
        <v>6</v>
      </c>
    </row>
    <row r="122" spans="1:8" ht="13" x14ac:dyDescent="0.15">
      <c r="A122" s="2" t="s">
        <v>133</v>
      </c>
      <c r="B122" s="2" t="s">
        <v>13</v>
      </c>
      <c r="C122" s="2">
        <v>20000000</v>
      </c>
      <c r="D122" s="2">
        <v>20</v>
      </c>
      <c r="F122">
        <f>IF(Table1[[#This Row],[Rating]]="A",Table1[[#This Row],[Base_Salary]]*0.1,IF(E122="B",C122*0.05,0))</f>
        <v>0</v>
      </c>
      <c r="G122">
        <f>Table1[[#This Row],[Base_Salary]]/22*Table1[[#This Row],[Work_Days]]+Table1[[#This Row],[Tiền thưởng]]</f>
        <v>18181818.18181818</v>
      </c>
      <c r="H122" s="2" t="s">
        <v>6</v>
      </c>
    </row>
    <row r="123" spans="1:8" ht="13" x14ac:dyDescent="0.15">
      <c r="A123" s="2" t="s">
        <v>134</v>
      </c>
      <c r="B123" s="2" t="s">
        <v>15</v>
      </c>
      <c r="C123" s="2">
        <v>8000000</v>
      </c>
      <c r="D123" s="2">
        <v>22</v>
      </c>
      <c r="E123" s="2" t="s">
        <v>5</v>
      </c>
      <c r="F123" s="2">
        <f>IF(Table1[[#This Row],[Rating]]="A",Table1[[#This Row],[Base_Salary]]*0.1,IF(E123="B",C123*0.05,0))</f>
        <v>800000</v>
      </c>
      <c r="G123" s="2">
        <f>Table1[[#This Row],[Base_Salary]]/22*Table1[[#This Row],[Work_Days]]+Table1[[#This Row],[Tiền thưởng]]</f>
        <v>8800000</v>
      </c>
      <c r="H123" s="2" t="s">
        <v>6</v>
      </c>
    </row>
    <row r="124" spans="1:8" ht="13" x14ac:dyDescent="0.15">
      <c r="A124" s="2" t="s">
        <v>135</v>
      </c>
      <c r="B124" s="2" t="s">
        <v>11</v>
      </c>
      <c r="C124" s="2">
        <v>15000000</v>
      </c>
      <c r="D124" s="2">
        <v>22</v>
      </c>
      <c r="E124" s="2" t="s">
        <v>7</v>
      </c>
      <c r="F124" s="2">
        <f>IF(Table1[[#This Row],[Rating]]="A",Table1[[#This Row],[Base_Salary]]*0.1,IF(E124="B",C124*0.05,0))</f>
        <v>750000</v>
      </c>
      <c r="G124" s="2">
        <f>Table1[[#This Row],[Base_Salary]]/22*Table1[[#This Row],[Work_Days]]+Table1[[#This Row],[Tiền thưởng]]</f>
        <v>15749999.999999998</v>
      </c>
      <c r="H124" s="2" t="s">
        <v>6</v>
      </c>
    </row>
    <row r="125" spans="1:8" ht="13" x14ac:dyDescent="0.15">
      <c r="A125" s="2" t="s">
        <v>136</v>
      </c>
      <c r="B125" s="2" t="s">
        <v>13</v>
      </c>
      <c r="C125" s="3">
        <v>12500000</v>
      </c>
      <c r="D125" s="2">
        <v>21</v>
      </c>
      <c r="E125" s="2" t="s">
        <v>8</v>
      </c>
      <c r="F125" s="2">
        <f>IF(Table1[[#This Row],[Rating]]="A",Table1[[#This Row],[Base_Salary]]*0.1,IF(E125="B",C125*0.05,0))</f>
        <v>0</v>
      </c>
      <c r="G125" s="2">
        <f>Table1[[#This Row],[Base_Salary]]/22*Table1[[#This Row],[Work_Days]]+Table1[[#This Row],[Tiền thưởng]]</f>
        <v>11931818.181818184</v>
      </c>
      <c r="H125" s="2" t="s">
        <v>6</v>
      </c>
    </row>
    <row r="126" spans="1:8" ht="13" x14ac:dyDescent="0.15">
      <c r="A126" s="2" t="s">
        <v>137</v>
      </c>
      <c r="B126" s="2" t="s">
        <v>15</v>
      </c>
      <c r="C126" s="2">
        <v>20000000</v>
      </c>
      <c r="D126" s="2">
        <v>20</v>
      </c>
      <c r="E126" s="2" t="s">
        <v>5</v>
      </c>
      <c r="F126" s="2">
        <f>IF(Table1[[#This Row],[Rating]]="A",Table1[[#This Row],[Base_Salary]]*0.1,IF(E126="B",C126*0.05,0))</f>
        <v>2000000</v>
      </c>
      <c r="G126" s="2">
        <f>Table1[[#This Row],[Base_Salary]]/22*Table1[[#This Row],[Work_Days]]+Table1[[#This Row],[Tiền thưởng]]</f>
        <v>20181818.18181818</v>
      </c>
      <c r="H126" s="2" t="s">
        <v>6</v>
      </c>
    </row>
    <row r="127" spans="1:8" ht="13" x14ac:dyDescent="0.15">
      <c r="A127" s="2" t="s">
        <v>138</v>
      </c>
      <c r="B127" s="2" t="s">
        <v>11</v>
      </c>
      <c r="C127" s="2">
        <v>8000000</v>
      </c>
      <c r="D127" s="2">
        <v>22</v>
      </c>
      <c r="E127" s="2" t="s">
        <v>7</v>
      </c>
      <c r="F127" s="2">
        <f>IF(Table1[[#This Row],[Rating]]="A",Table1[[#This Row],[Base_Salary]]*0.1,IF(E127="B",C127*0.05,0))</f>
        <v>400000</v>
      </c>
      <c r="G127" s="2">
        <f>Table1[[#This Row],[Base_Salary]]/22*Table1[[#This Row],[Work_Days]]+Table1[[#This Row],[Tiền thưởng]]</f>
        <v>8400000</v>
      </c>
      <c r="H127" s="2" t="s">
        <v>6</v>
      </c>
    </row>
    <row r="128" spans="1:8" ht="13" x14ac:dyDescent="0.15">
      <c r="A128" s="2" t="s">
        <v>139</v>
      </c>
      <c r="B128" s="2" t="s">
        <v>13</v>
      </c>
      <c r="C128" s="2">
        <v>15000000</v>
      </c>
      <c r="D128" s="2">
        <v>22</v>
      </c>
      <c r="E128" s="2" t="s">
        <v>8</v>
      </c>
      <c r="F128" s="2">
        <f>IF(Table1[[#This Row],[Rating]]="A",Table1[[#This Row],[Base_Salary]]*0.1,IF(E128="B",C128*0.05,0))</f>
        <v>0</v>
      </c>
      <c r="G128" s="2">
        <f>Table1[[#This Row],[Base_Salary]]/22*Table1[[#This Row],[Work_Days]]+Table1[[#This Row],[Tiền thưởng]]</f>
        <v>14999999.999999998</v>
      </c>
      <c r="H128" s="2" t="s">
        <v>6</v>
      </c>
    </row>
    <row r="129" spans="1:8" ht="13" x14ac:dyDescent="0.15">
      <c r="A129" s="2" t="s">
        <v>140</v>
      </c>
      <c r="B129" s="2" t="s">
        <v>15</v>
      </c>
      <c r="C129" s="3">
        <v>12500000</v>
      </c>
      <c r="D129" s="2">
        <v>21</v>
      </c>
      <c r="F129">
        <f>IF(Table1[[#This Row],[Rating]]="A",Table1[[#This Row],[Base_Salary]]*0.1,IF(E129="B",C129*0.05,0))</f>
        <v>0</v>
      </c>
      <c r="G129">
        <f>Table1[[#This Row],[Base_Salary]]/22*Table1[[#This Row],[Work_Days]]+Table1[[#This Row],[Tiền thưởng]]</f>
        <v>11931818.181818184</v>
      </c>
      <c r="H129" s="2" t="s">
        <v>6</v>
      </c>
    </row>
    <row r="130" spans="1:8" ht="13" x14ac:dyDescent="0.15">
      <c r="A130" s="2" t="s">
        <v>141</v>
      </c>
      <c r="B130" s="2" t="s">
        <v>11</v>
      </c>
      <c r="C130" s="2">
        <v>20000000</v>
      </c>
      <c r="D130" s="2">
        <v>20</v>
      </c>
      <c r="E130" s="2" t="s">
        <v>5</v>
      </c>
      <c r="F130" s="2">
        <f>IF(Table1[[#This Row],[Rating]]="A",Table1[[#This Row],[Base_Salary]]*0.1,IF(E130="B",C130*0.05,0))</f>
        <v>2000000</v>
      </c>
      <c r="G130" s="2">
        <f>Table1[[#This Row],[Base_Salary]]/22*Table1[[#This Row],[Work_Days]]+Table1[[#This Row],[Tiền thưởng]]</f>
        <v>20181818.18181818</v>
      </c>
      <c r="H130" s="2" t="s">
        <v>6</v>
      </c>
    </row>
    <row r="131" spans="1:8" ht="13" x14ac:dyDescent="0.15">
      <c r="A131" s="2" t="s">
        <v>142</v>
      </c>
      <c r="B131" s="2" t="s">
        <v>13</v>
      </c>
      <c r="C131" s="2">
        <v>8000000</v>
      </c>
      <c r="D131" s="2">
        <v>22</v>
      </c>
      <c r="E131" s="2" t="s">
        <v>7</v>
      </c>
      <c r="F131" s="2">
        <f>IF(Table1[[#This Row],[Rating]]="A",Table1[[#This Row],[Base_Salary]]*0.1,IF(E131="B",C131*0.05,0))</f>
        <v>400000</v>
      </c>
      <c r="G131" s="2">
        <f>Table1[[#This Row],[Base_Salary]]/22*Table1[[#This Row],[Work_Days]]+Table1[[#This Row],[Tiền thưởng]]</f>
        <v>8400000</v>
      </c>
      <c r="H131" s="2" t="s">
        <v>6</v>
      </c>
    </row>
    <row r="132" spans="1:8" ht="13" x14ac:dyDescent="0.15">
      <c r="A132" s="2" t="s">
        <v>143</v>
      </c>
      <c r="B132" s="2" t="s">
        <v>15</v>
      </c>
      <c r="C132" s="2">
        <v>15000000</v>
      </c>
      <c r="D132" s="2">
        <v>22</v>
      </c>
      <c r="E132" s="2" t="s">
        <v>8</v>
      </c>
      <c r="F132" s="2">
        <f>IF(Table1[[#This Row],[Rating]]="A",Table1[[#This Row],[Base_Salary]]*0.1,IF(E132="B",C132*0.05,0))</f>
        <v>0</v>
      </c>
      <c r="G132" s="2">
        <f>Table1[[#This Row],[Base_Salary]]/22*Table1[[#This Row],[Work_Days]]+Table1[[#This Row],[Tiền thưởng]]</f>
        <v>14999999.999999998</v>
      </c>
      <c r="H132" s="2" t="s">
        <v>6</v>
      </c>
    </row>
    <row r="133" spans="1:8" ht="13" x14ac:dyDescent="0.15">
      <c r="A133" s="2" t="s">
        <v>144</v>
      </c>
      <c r="B133" s="2" t="s">
        <v>11</v>
      </c>
      <c r="C133" s="3">
        <v>12500000</v>
      </c>
      <c r="D133" s="2">
        <v>21</v>
      </c>
      <c r="E133" s="2" t="s">
        <v>5</v>
      </c>
      <c r="F133" s="2">
        <f>IF(Table1[[#This Row],[Rating]]="A",Table1[[#This Row],[Base_Salary]]*0.1,IF(E133="B",C133*0.05,0))</f>
        <v>1250000</v>
      </c>
      <c r="G133" s="2">
        <f>Table1[[#This Row],[Base_Salary]]/22*Table1[[#This Row],[Work_Days]]+Table1[[#This Row],[Tiền thưởng]]</f>
        <v>13181818.181818184</v>
      </c>
      <c r="H133" s="2" t="s">
        <v>6</v>
      </c>
    </row>
    <row r="134" spans="1:8" ht="13" x14ac:dyDescent="0.15">
      <c r="A134" s="2" t="s">
        <v>145</v>
      </c>
      <c r="B134" s="2" t="s">
        <v>13</v>
      </c>
      <c r="C134" s="2">
        <v>20000000</v>
      </c>
      <c r="D134" s="2">
        <v>20</v>
      </c>
      <c r="E134" s="2" t="s">
        <v>7</v>
      </c>
      <c r="F134" s="2">
        <f>IF(Table1[[#This Row],[Rating]]="A",Table1[[#This Row],[Base_Salary]]*0.1,IF(E134="B",C134*0.05,0))</f>
        <v>1000000</v>
      </c>
      <c r="G134" s="2">
        <f>Table1[[#This Row],[Base_Salary]]/22*Table1[[#This Row],[Work_Days]]+Table1[[#This Row],[Tiền thưởng]]</f>
        <v>19181818.18181818</v>
      </c>
      <c r="H134" s="2" t="s">
        <v>6</v>
      </c>
    </row>
    <row r="135" spans="1:8" ht="13" x14ac:dyDescent="0.15">
      <c r="A135" s="2" t="s">
        <v>146</v>
      </c>
      <c r="B135" s="2" t="s">
        <v>15</v>
      </c>
      <c r="C135" s="2">
        <v>8000000</v>
      </c>
      <c r="D135" s="2">
        <v>22</v>
      </c>
      <c r="E135" s="2" t="s">
        <v>8</v>
      </c>
      <c r="F135" s="2">
        <f>IF(Table1[[#This Row],[Rating]]="A",Table1[[#This Row],[Base_Salary]]*0.1,IF(E135="B",C135*0.05,0))</f>
        <v>0</v>
      </c>
      <c r="G135" s="2">
        <f>Table1[[#This Row],[Base_Salary]]/22*Table1[[#This Row],[Work_Days]]+Table1[[#This Row],[Tiền thưởng]]</f>
        <v>8000000</v>
      </c>
      <c r="H135" s="2" t="s">
        <v>6</v>
      </c>
    </row>
    <row r="136" spans="1:8" ht="13" x14ac:dyDescent="0.15">
      <c r="A136" s="2" t="s">
        <v>147</v>
      </c>
      <c r="B136" s="2" t="s">
        <v>11</v>
      </c>
      <c r="C136" s="2">
        <v>15000000</v>
      </c>
      <c r="D136" s="2">
        <v>22</v>
      </c>
      <c r="F136">
        <f>IF(Table1[[#This Row],[Rating]]="A",Table1[[#This Row],[Base_Salary]]*0.1,IF(E136="B",C136*0.05,0))</f>
        <v>0</v>
      </c>
      <c r="G136">
        <f>Table1[[#This Row],[Base_Salary]]/22*Table1[[#This Row],[Work_Days]]+Table1[[#This Row],[Tiền thưởng]]</f>
        <v>14999999.999999998</v>
      </c>
      <c r="H136" s="2" t="s">
        <v>6</v>
      </c>
    </row>
    <row r="137" spans="1:8" ht="13" x14ac:dyDescent="0.15">
      <c r="A137" s="2" t="s">
        <v>148</v>
      </c>
      <c r="B137" s="2" t="s">
        <v>13</v>
      </c>
      <c r="C137" s="3">
        <v>12500000</v>
      </c>
      <c r="D137" s="2">
        <v>21</v>
      </c>
      <c r="E137" s="2" t="s">
        <v>5</v>
      </c>
      <c r="F137" s="2">
        <f>IF(Table1[[#This Row],[Rating]]="A",Table1[[#This Row],[Base_Salary]]*0.1,IF(E137="B",C137*0.05,0))</f>
        <v>1250000</v>
      </c>
      <c r="G137" s="2">
        <f>Table1[[#This Row],[Base_Salary]]/22*Table1[[#This Row],[Work_Days]]+Table1[[#This Row],[Tiền thưởng]]</f>
        <v>13181818.181818184</v>
      </c>
      <c r="H137" s="2" t="s">
        <v>6</v>
      </c>
    </row>
    <row r="138" spans="1:8" ht="13" x14ac:dyDescent="0.15">
      <c r="A138" s="2" t="s">
        <v>149</v>
      </c>
      <c r="B138" s="2" t="s">
        <v>15</v>
      </c>
      <c r="C138" s="2">
        <v>20000000</v>
      </c>
      <c r="D138" s="2">
        <v>20</v>
      </c>
      <c r="E138" s="2" t="s">
        <v>7</v>
      </c>
      <c r="F138" s="2">
        <f>IF(Table1[[#This Row],[Rating]]="A",Table1[[#This Row],[Base_Salary]]*0.1,IF(E138="B",C138*0.05,0))</f>
        <v>1000000</v>
      </c>
      <c r="G138" s="2">
        <f>Table1[[#This Row],[Base_Salary]]/22*Table1[[#This Row],[Work_Days]]+Table1[[#This Row],[Tiền thưởng]]</f>
        <v>19181818.18181818</v>
      </c>
      <c r="H138" s="2" t="s">
        <v>6</v>
      </c>
    </row>
    <row r="139" spans="1:8" ht="13" x14ac:dyDescent="0.15">
      <c r="A139" s="2" t="s">
        <v>150</v>
      </c>
      <c r="B139" s="2" t="s">
        <v>11</v>
      </c>
      <c r="C139" s="2">
        <v>8000000</v>
      </c>
      <c r="D139" s="2">
        <v>22</v>
      </c>
      <c r="E139" s="2" t="s">
        <v>8</v>
      </c>
      <c r="F139" s="2">
        <f>IF(Table1[[#This Row],[Rating]]="A",Table1[[#This Row],[Base_Salary]]*0.1,IF(E139="B",C139*0.05,0))</f>
        <v>0</v>
      </c>
      <c r="G139" s="2">
        <f>Table1[[#This Row],[Base_Salary]]/22*Table1[[#This Row],[Work_Days]]+Table1[[#This Row],[Tiền thưởng]]</f>
        <v>8000000</v>
      </c>
      <c r="H139" s="2" t="s">
        <v>6</v>
      </c>
    </row>
    <row r="140" spans="1:8" ht="13" x14ac:dyDescent="0.15">
      <c r="A140" s="2" t="s">
        <v>151</v>
      </c>
      <c r="B140" s="2" t="s">
        <v>13</v>
      </c>
      <c r="C140" s="2">
        <v>15000000</v>
      </c>
      <c r="D140" s="2">
        <v>22</v>
      </c>
      <c r="E140" s="2" t="s">
        <v>5</v>
      </c>
      <c r="F140" s="2">
        <f>IF(Table1[[#This Row],[Rating]]="A",Table1[[#This Row],[Base_Salary]]*0.1,IF(E140="B",C140*0.05,0))</f>
        <v>1500000</v>
      </c>
      <c r="G140" s="2">
        <f>Table1[[#This Row],[Base_Salary]]/22*Table1[[#This Row],[Work_Days]]+Table1[[#This Row],[Tiền thưởng]]</f>
        <v>16499999.999999998</v>
      </c>
      <c r="H140" s="2" t="s">
        <v>6</v>
      </c>
    </row>
    <row r="141" spans="1:8" ht="13" x14ac:dyDescent="0.15">
      <c r="A141" s="2" t="s">
        <v>152</v>
      </c>
      <c r="B141" s="2" t="s">
        <v>15</v>
      </c>
      <c r="C141" s="3">
        <v>12500000</v>
      </c>
      <c r="D141" s="2">
        <v>21</v>
      </c>
      <c r="E141" s="2" t="s">
        <v>7</v>
      </c>
      <c r="F141" s="2">
        <f>IF(Table1[[#This Row],[Rating]]="A",Table1[[#This Row],[Base_Salary]]*0.1,IF(E141="B",C141*0.05,0))</f>
        <v>625000</v>
      </c>
      <c r="G141" s="2">
        <f>Table1[[#This Row],[Base_Salary]]/22*Table1[[#This Row],[Work_Days]]+Table1[[#This Row],[Tiền thưởng]]</f>
        <v>12556818.181818184</v>
      </c>
      <c r="H141" s="2" t="s">
        <v>6</v>
      </c>
    </row>
    <row r="142" spans="1:8" ht="13" x14ac:dyDescent="0.15">
      <c r="A142" s="2" t="s">
        <v>153</v>
      </c>
      <c r="B142" s="2" t="s">
        <v>11</v>
      </c>
      <c r="C142" s="2">
        <v>20000000</v>
      </c>
      <c r="D142" s="2">
        <v>20</v>
      </c>
      <c r="E142" s="2" t="s">
        <v>8</v>
      </c>
      <c r="F142" s="2">
        <f>IF(Table1[[#This Row],[Rating]]="A",Table1[[#This Row],[Base_Salary]]*0.1,IF(E142="B",C142*0.05,0))</f>
        <v>0</v>
      </c>
      <c r="G142" s="2">
        <f>Table1[[#This Row],[Base_Salary]]/22*Table1[[#This Row],[Work_Days]]+Table1[[#This Row],[Tiền thưởng]]</f>
        <v>18181818.18181818</v>
      </c>
      <c r="H142" s="2" t="s">
        <v>6</v>
      </c>
    </row>
    <row r="143" spans="1:8" ht="13" x14ac:dyDescent="0.15">
      <c r="A143" s="2" t="s">
        <v>154</v>
      </c>
      <c r="B143" s="2" t="s">
        <v>13</v>
      </c>
      <c r="C143" s="2">
        <v>8000000</v>
      </c>
      <c r="D143" s="2">
        <v>22</v>
      </c>
      <c r="F143">
        <f>IF(Table1[[#This Row],[Rating]]="A",Table1[[#This Row],[Base_Salary]]*0.1,IF(E143="B",C143*0.05,0))</f>
        <v>0</v>
      </c>
      <c r="G143">
        <f>Table1[[#This Row],[Base_Salary]]/22*Table1[[#This Row],[Work_Days]]+Table1[[#This Row],[Tiền thưởng]]</f>
        <v>8000000</v>
      </c>
      <c r="H143" s="2" t="s">
        <v>6</v>
      </c>
    </row>
    <row r="144" spans="1:8" ht="13" x14ac:dyDescent="0.15">
      <c r="A144" s="2" t="s">
        <v>155</v>
      </c>
      <c r="B144" s="2" t="s">
        <v>15</v>
      </c>
      <c r="C144" s="2">
        <v>15000000</v>
      </c>
      <c r="D144" s="2">
        <v>22</v>
      </c>
      <c r="E144" s="2" t="s">
        <v>5</v>
      </c>
      <c r="F144" s="2">
        <f>IF(Table1[[#This Row],[Rating]]="A",Table1[[#This Row],[Base_Salary]]*0.1,IF(E144="B",C144*0.05,0))</f>
        <v>1500000</v>
      </c>
      <c r="G144" s="2">
        <f>Table1[[#This Row],[Base_Salary]]/22*Table1[[#This Row],[Work_Days]]+Table1[[#This Row],[Tiền thưởng]]</f>
        <v>16499999.999999998</v>
      </c>
      <c r="H144" s="2" t="s">
        <v>6</v>
      </c>
    </row>
    <row r="145" spans="1:8" ht="13" x14ac:dyDescent="0.15">
      <c r="A145" s="2" t="s">
        <v>156</v>
      </c>
      <c r="B145" s="2" t="s">
        <v>11</v>
      </c>
      <c r="C145" s="3">
        <v>12500000</v>
      </c>
      <c r="D145" s="2">
        <v>21</v>
      </c>
      <c r="E145" s="2" t="s">
        <v>7</v>
      </c>
      <c r="F145" s="2">
        <f>IF(Table1[[#This Row],[Rating]]="A",Table1[[#This Row],[Base_Salary]]*0.1,IF(E145="B",C145*0.05,0))</f>
        <v>625000</v>
      </c>
      <c r="G145" s="2">
        <f>Table1[[#This Row],[Base_Salary]]/22*Table1[[#This Row],[Work_Days]]+Table1[[#This Row],[Tiền thưởng]]</f>
        <v>12556818.181818184</v>
      </c>
      <c r="H145" s="2" t="s">
        <v>6</v>
      </c>
    </row>
    <row r="146" spans="1:8" ht="13" x14ac:dyDescent="0.15">
      <c r="A146" s="2" t="s">
        <v>157</v>
      </c>
      <c r="B146" s="2" t="s">
        <v>13</v>
      </c>
      <c r="C146" s="2">
        <v>20000000</v>
      </c>
      <c r="D146" s="2">
        <v>20</v>
      </c>
      <c r="E146" s="2" t="s">
        <v>8</v>
      </c>
      <c r="F146" s="2">
        <f>IF(Table1[[#This Row],[Rating]]="A",Table1[[#This Row],[Base_Salary]]*0.1,IF(E146="B",C146*0.05,0))</f>
        <v>0</v>
      </c>
      <c r="G146" s="2">
        <f>Table1[[#This Row],[Base_Salary]]/22*Table1[[#This Row],[Work_Days]]+Table1[[#This Row],[Tiền thưởng]]</f>
        <v>18181818.18181818</v>
      </c>
      <c r="H146" s="2" t="s">
        <v>6</v>
      </c>
    </row>
    <row r="147" spans="1:8" ht="13" x14ac:dyDescent="0.15">
      <c r="A147" s="2" t="s">
        <v>158</v>
      </c>
      <c r="B147" s="2" t="s">
        <v>15</v>
      </c>
      <c r="C147" s="2">
        <v>8000000</v>
      </c>
      <c r="D147" s="2">
        <v>22</v>
      </c>
      <c r="E147" s="2" t="s">
        <v>5</v>
      </c>
      <c r="F147" s="2">
        <f>IF(Table1[[#This Row],[Rating]]="A",Table1[[#This Row],[Base_Salary]]*0.1,IF(E147="B",C147*0.05,0))</f>
        <v>800000</v>
      </c>
      <c r="G147" s="2">
        <f>Table1[[#This Row],[Base_Salary]]/22*Table1[[#This Row],[Work_Days]]+Table1[[#This Row],[Tiền thưởng]]</f>
        <v>8800000</v>
      </c>
      <c r="H147" s="2" t="s">
        <v>6</v>
      </c>
    </row>
    <row r="148" spans="1:8" ht="13" x14ac:dyDescent="0.15">
      <c r="A148" s="2" t="s">
        <v>159</v>
      </c>
      <c r="B148" s="2" t="s">
        <v>11</v>
      </c>
      <c r="C148" s="2">
        <v>15000000</v>
      </c>
      <c r="D148" s="2">
        <v>22</v>
      </c>
      <c r="E148" s="2" t="s">
        <v>7</v>
      </c>
      <c r="F148" s="2">
        <f>IF(Table1[[#This Row],[Rating]]="A",Table1[[#This Row],[Base_Salary]]*0.1,IF(E148="B",C148*0.05,0))</f>
        <v>750000</v>
      </c>
      <c r="G148" s="2">
        <f>Table1[[#This Row],[Base_Salary]]/22*Table1[[#This Row],[Work_Days]]+Table1[[#This Row],[Tiền thưởng]]</f>
        <v>15749999.999999998</v>
      </c>
      <c r="H148" s="2" t="s">
        <v>6</v>
      </c>
    </row>
    <row r="149" spans="1:8" ht="13" x14ac:dyDescent="0.15">
      <c r="A149" s="2" t="s">
        <v>160</v>
      </c>
      <c r="B149" s="2" t="s">
        <v>13</v>
      </c>
      <c r="C149" s="3">
        <v>12500000</v>
      </c>
      <c r="D149" s="2">
        <v>21</v>
      </c>
      <c r="E149" s="2" t="s">
        <v>8</v>
      </c>
      <c r="F149" s="2">
        <f>IF(Table1[[#This Row],[Rating]]="A",Table1[[#This Row],[Base_Salary]]*0.1,IF(E149="B",C149*0.05,0))</f>
        <v>0</v>
      </c>
      <c r="G149" s="2">
        <f>Table1[[#This Row],[Base_Salary]]/22*Table1[[#This Row],[Work_Days]]+Table1[[#This Row],[Tiền thưởng]]</f>
        <v>11931818.181818184</v>
      </c>
      <c r="H149" s="2" t="s">
        <v>6</v>
      </c>
    </row>
    <row r="150" spans="1:8" ht="13" x14ac:dyDescent="0.15">
      <c r="A150" s="2" t="s">
        <v>161</v>
      </c>
      <c r="B150" s="2" t="s">
        <v>15</v>
      </c>
      <c r="C150" s="2">
        <v>20000000</v>
      </c>
      <c r="D150" s="2">
        <v>20</v>
      </c>
      <c r="F150">
        <f>IF(Table1[[#This Row],[Rating]]="A",Table1[[#This Row],[Base_Salary]]*0.1,IF(E150="B",C150*0.05,0))</f>
        <v>0</v>
      </c>
      <c r="G150">
        <f>Table1[[#This Row],[Base_Salary]]/22*Table1[[#This Row],[Work_Days]]+Table1[[#This Row],[Tiền thưởng]]</f>
        <v>18181818.18181818</v>
      </c>
      <c r="H150" s="2" t="s">
        <v>6</v>
      </c>
    </row>
    <row r="151" spans="1:8" ht="13" x14ac:dyDescent="0.15">
      <c r="A151" s="2" t="s">
        <v>162</v>
      </c>
      <c r="B151" s="2" t="s">
        <v>11</v>
      </c>
      <c r="C151" s="2">
        <v>8000000</v>
      </c>
      <c r="D151" s="2">
        <v>22</v>
      </c>
      <c r="E151" s="2" t="s">
        <v>5</v>
      </c>
      <c r="F151" s="2">
        <f>IF(Table1[[#This Row],[Rating]]="A",Table1[[#This Row],[Base_Salary]]*0.1,IF(E151="B",C151*0.05,0))</f>
        <v>800000</v>
      </c>
      <c r="G151" s="2">
        <f>Table1[[#This Row],[Base_Salary]]/22*Table1[[#This Row],[Work_Days]]+Table1[[#This Row],[Tiền thưởng]]</f>
        <v>8800000</v>
      </c>
      <c r="H151" s="2" t="s">
        <v>6</v>
      </c>
    </row>
    <row r="152" spans="1:8" ht="13" x14ac:dyDescent="0.15">
      <c r="A152" s="2" t="s">
        <v>163</v>
      </c>
      <c r="B152" s="2" t="s">
        <v>13</v>
      </c>
      <c r="C152" s="2">
        <v>15000000</v>
      </c>
      <c r="D152" s="2">
        <v>22</v>
      </c>
      <c r="E152" s="2" t="s">
        <v>7</v>
      </c>
      <c r="F152" s="2">
        <f>IF(Table1[[#This Row],[Rating]]="A",Table1[[#This Row],[Base_Salary]]*0.1,IF(E152="B",C152*0.05,0))</f>
        <v>750000</v>
      </c>
      <c r="G152" s="2">
        <f>Table1[[#This Row],[Base_Salary]]/22*Table1[[#This Row],[Work_Days]]+Table1[[#This Row],[Tiền thưởng]]</f>
        <v>15749999.999999998</v>
      </c>
      <c r="H152" s="2" t="s">
        <v>6</v>
      </c>
    </row>
    <row r="153" spans="1:8" ht="13" x14ac:dyDescent="0.15">
      <c r="A153" s="2" t="s">
        <v>164</v>
      </c>
      <c r="B153" s="2" t="s">
        <v>15</v>
      </c>
      <c r="C153" s="3">
        <v>12500000</v>
      </c>
      <c r="D153" s="2">
        <v>21</v>
      </c>
      <c r="E153" s="2" t="s">
        <v>8</v>
      </c>
      <c r="F153" s="2">
        <f>IF(Table1[[#This Row],[Rating]]="A",Table1[[#This Row],[Base_Salary]]*0.1,IF(E153="B",C153*0.05,0))</f>
        <v>0</v>
      </c>
      <c r="G153" s="2">
        <f>Table1[[#This Row],[Base_Salary]]/22*Table1[[#This Row],[Work_Days]]+Table1[[#This Row],[Tiền thưởng]]</f>
        <v>11931818.181818184</v>
      </c>
      <c r="H153" s="2" t="s">
        <v>6</v>
      </c>
    </row>
    <row r="154" spans="1:8" ht="13" x14ac:dyDescent="0.15">
      <c r="A154" s="2" t="s">
        <v>165</v>
      </c>
      <c r="B154" s="2" t="s">
        <v>11</v>
      </c>
      <c r="C154" s="2">
        <v>20000000</v>
      </c>
      <c r="D154" s="2">
        <v>20</v>
      </c>
      <c r="E154" s="2" t="s">
        <v>5</v>
      </c>
      <c r="F154" s="2">
        <f>IF(Table1[[#This Row],[Rating]]="A",Table1[[#This Row],[Base_Salary]]*0.1,IF(E154="B",C154*0.05,0))</f>
        <v>2000000</v>
      </c>
      <c r="G154" s="2">
        <f>Table1[[#This Row],[Base_Salary]]/22*Table1[[#This Row],[Work_Days]]+Table1[[#This Row],[Tiền thưởng]]</f>
        <v>20181818.18181818</v>
      </c>
      <c r="H154" s="2" t="s">
        <v>6</v>
      </c>
    </row>
    <row r="155" spans="1:8" ht="13" x14ac:dyDescent="0.15">
      <c r="A155" s="2" t="s">
        <v>166</v>
      </c>
      <c r="B155" s="2" t="s">
        <v>13</v>
      </c>
      <c r="C155" s="2">
        <v>8000000</v>
      </c>
      <c r="D155" s="2">
        <v>22</v>
      </c>
      <c r="E155" s="2" t="s">
        <v>7</v>
      </c>
      <c r="F155" s="2">
        <f>IF(Table1[[#This Row],[Rating]]="A",Table1[[#This Row],[Base_Salary]]*0.1,IF(E155="B",C155*0.05,0))</f>
        <v>400000</v>
      </c>
      <c r="G155" s="2">
        <f>Table1[[#This Row],[Base_Salary]]/22*Table1[[#This Row],[Work_Days]]+Table1[[#This Row],[Tiền thưởng]]</f>
        <v>8400000</v>
      </c>
      <c r="H155" s="2" t="s">
        <v>6</v>
      </c>
    </row>
    <row r="156" spans="1:8" ht="13" x14ac:dyDescent="0.15">
      <c r="A156" s="2" t="s">
        <v>167</v>
      </c>
      <c r="B156" s="2" t="s">
        <v>15</v>
      </c>
      <c r="C156" s="2">
        <v>15000000</v>
      </c>
      <c r="D156" s="2">
        <v>22</v>
      </c>
      <c r="E156" s="2" t="s">
        <v>8</v>
      </c>
      <c r="F156" s="2">
        <f>IF(Table1[[#This Row],[Rating]]="A",Table1[[#This Row],[Base_Salary]]*0.1,IF(E156="B",C156*0.05,0))</f>
        <v>0</v>
      </c>
      <c r="G156" s="2">
        <f>Table1[[#This Row],[Base_Salary]]/22*Table1[[#This Row],[Work_Days]]+Table1[[#This Row],[Tiền thưởng]]</f>
        <v>14999999.999999998</v>
      </c>
      <c r="H156" s="2" t="s">
        <v>6</v>
      </c>
    </row>
    <row r="157" spans="1:8" ht="13" x14ac:dyDescent="0.15">
      <c r="A157" s="2" t="s">
        <v>168</v>
      </c>
      <c r="B157" s="2" t="s">
        <v>11</v>
      </c>
      <c r="C157" s="3">
        <v>12500000</v>
      </c>
      <c r="D157" s="2">
        <v>21</v>
      </c>
      <c r="F157">
        <f>IF(Table1[[#This Row],[Rating]]="A",Table1[[#This Row],[Base_Salary]]*0.1,IF(E157="B",C157*0.05,0))</f>
        <v>0</v>
      </c>
      <c r="G157">
        <f>Table1[[#This Row],[Base_Salary]]/22*Table1[[#This Row],[Work_Days]]+Table1[[#This Row],[Tiền thưởng]]</f>
        <v>11931818.181818184</v>
      </c>
      <c r="H157" s="2" t="s">
        <v>6</v>
      </c>
    </row>
    <row r="158" spans="1:8" ht="13" x14ac:dyDescent="0.15">
      <c r="A158" s="2" t="s">
        <v>169</v>
      </c>
      <c r="B158" s="2" t="s">
        <v>13</v>
      </c>
      <c r="C158" s="2">
        <v>20000000</v>
      </c>
      <c r="D158" s="2">
        <v>20</v>
      </c>
      <c r="E158" s="2" t="s">
        <v>5</v>
      </c>
      <c r="F158" s="2">
        <f>IF(Table1[[#This Row],[Rating]]="A",Table1[[#This Row],[Base_Salary]]*0.1,IF(E158="B",C158*0.05,0))</f>
        <v>2000000</v>
      </c>
      <c r="G158" s="2">
        <f>Table1[[#This Row],[Base_Salary]]/22*Table1[[#This Row],[Work_Days]]+Table1[[#This Row],[Tiền thưởng]]</f>
        <v>20181818.18181818</v>
      </c>
      <c r="H158" s="2" t="s">
        <v>6</v>
      </c>
    </row>
    <row r="159" spans="1:8" ht="13" x14ac:dyDescent="0.15">
      <c r="A159" s="2" t="s">
        <v>170</v>
      </c>
      <c r="B159" s="2" t="s">
        <v>15</v>
      </c>
      <c r="C159" s="2">
        <v>8000000</v>
      </c>
      <c r="D159" s="2">
        <v>22</v>
      </c>
      <c r="E159" s="2" t="s">
        <v>7</v>
      </c>
      <c r="F159" s="2">
        <f>IF(Table1[[#This Row],[Rating]]="A",Table1[[#This Row],[Base_Salary]]*0.1,IF(E159="B",C159*0.05,0))</f>
        <v>400000</v>
      </c>
      <c r="G159" s="2">
        <f>Table1[[#This Row],[Base_Salary]]/22*Table1[[#This Row],[Work_Days]]+Table1[[#This Row],[Tiền thưởng]]</f>
        <v>8400000</v>
      </c>
      <c r="H159" s="2" t="s">
        <v>6</v>
      </c>
    </row>
    <row r="160" spans="1:8" ht="13" x14ac:dyDescent="0.15">
      <c r="A160" s="2" t="s">
        <v>171</v>
      </c>
      <c r="B160" s="2" t="s">
        <v>11</v>
      </c>
      <c r="C160" s="2">
        <v>15000000</v>
      </c>
      <c r="D160" s="2">
        <v>22</v>
      </c>
      <c r="E160" s="2" t="s">
        <v>8</v>
      </c>
      <c r="F160" s="2">
        <f>IF(Table1[[#This Row],[Rating]]="A",Table1[[#This Row],[Base_Salary]]*0.1,IF(E160="B",C160*0.05,0))</f>
        <v>0</v>
      </c>
      <c r="G160" s="2">
        <f>Table1[[#This Row],[Base_Salary]]/22*Table1[[#This Row],[Work_Days]]+Table1[[#This Row],[Tiền thưởng]]</f>
        <v>14999999.999999998</v>
      </c>
      <c r="H160" s="2" t="s">
        <v>6</v>
      </c>
    </row>
    <row r="161" spans="1:8" ht="13" x14ac:dyDescent="0.15">
      <c r="A161" s="2" t="s">
        <v>172</v>
      </c>
      <c r="B161" s="2" t="s">
        <v>13</v>
      </c>
      <c r="C161" s="3">
        <v>12500000</v>
      </c>
      <c r="D161" s="2">
        <v>21</v>
      </c>
      <c r="E161" s="2" t="s">
        <v>5</v>
      </c>
      <c r="F161" s="2">
        <f>IF(Table1[[#This Row],[Rating]]="A",Table1[[#This Row],[Base_Salary]]*0.1,IF(E161="B",C161*0.05,0))</f>
        <v>1250000</v>
      </c>
      <c r="G161" s="2">
        <f>Table1[[#This Row],[Base_Salary]]/22*Table1[[#This Row],[Work_Days]]+Table1[[#This Row],[Tiền thưởng]]</f>
        <v>13181818.181818184</v>
      </c>
      <c r="H161" s="2" t="s">
        <v>6</v>
      </c>
    </row>
    <row r="162" spans="1:8" ht="13" x14ac:dyDescent="0.15">
      <c r="A162" s="2" t="s">
        <v>173</v>
      </c>
      <c r="B162" s="2" t="s">
        <v>15</v>
      </c>
      <c r="C162" s="2">
        <v>20000000</v>
      </c>
      <c r="D162" s="2">
        <v>20</v>
      </c>
      <c r="E162" s="2" t="s">
        <v>7</v>
      </c>
      <c r="F162" s="2">
        <f>IF(Table1[[#This Row],[Rating]]="A",Table1[[#This Row],[Base_Salary]]*0.1,IF(E162="B",C162*0.05,0))</f>
        <v>1000000</v>
      </c>
      <c r="G162" s="2">
        <f>Table1[[#This Row],[Base_Salary]]/22*Table1[[#This Row],[Work_Days]]+Table1[[#This Row],[Tiền thưởng]]</f>
        <v>19181818.18181818</v>
      </c>
      <c r="H162" s="2" t="s">
        <v>6</v>
      </c>
    </row>
    <row r="163" spans="1:8" ht="13" x14ac:dyDescent="0.15">
      <c r="A163" s="2" t="s">
        <v>174</v>
      </c>
      <c r="B163" s="2" t="s">
        <v>11</v>
      </c>
      <c r="C163" s="2">
        <v>8000000</v>
      </c>
      <c r="D163" s="2">
        <v>22</v>
      </c>
      <c r="E163" s="2" t="s">
        <v>8</v>
      </c>
      <c r="F163" s="2">
        <f>IF(Table1[[#This Row],[Rating]]="A",Table1[[#This Row],[Base_Salary]]*0.1,IF(E163="B",C163*0.05,0))</f>
        <v>0</v>
      </c>
      <c r="G163" s="2">
        <f>Table1[[#This Row],[Base_Salary]]/22*Table1[[#This Row],[Work_Days]]+Table1[[#This Row],[Tiền thưởng]]</f>
        <v>8000000</v>
      </c>
      <c r="H163" s="2" t="s">
        <v>6</v>
      </c>
    </row>
    <row r="164" spans="1:8" ht="13" x14ac:dyDescent="0.15">
      <c r="A164" s="2" t="s">
        <v>175</v>
      </c>
      <c r="B164" s="2" t="s">
        <v>13</v>
      </c>
      <c r="C164" s="2">
        <v>15000000</v>
      </c>
      <c r="D164" s="2">
        <v>22</v>
      </c>
      <c r="F164">
        <f>IF(Table1[[#This Row],[Rating]]="A",Table1[[#This Row],[Base_Salary]]*0.1,IF(E164="B",C164*0.05,0))</f>
        <v>0</v>
      </c>
      <c r="G164">
        <f>Table1[[#This Row],[Base_Salary]]/22*Table1[[#This Row],[Work_Days]]+Table1[[#This Row],[Tiền thưởng]]</f>
        <v>14999999.999999998</v>
      </c>
      <c r="H164" s="2" t="s">
        <v>6</v>
      </c>
    </row>
    <row r="165" spans="1:8" ht="13" x14ac:dyDescent="0.15">
      <c r="A165" s="2" t="s">
        <v>176</v>
      </c>
      <c r="B165" s="2" t="s">
        <v>15</v>
      </c>
      <c r="C165" s="3">
        <v>12500000</v>
      </c>
      <c r="D165" s="2">
        <v>21</v>
      </c>
      <c r="E165" s="2" t="s">
        <v>5</v>
      </c>
      <c r="F165" s="2">
        <f>IF(Table1[[#This Row],[Rating]]="A",Table1[[#This Row],[Base_Salary]]*0.1,IF(E165="B",C165*0.05,0))</f>
        <v>1250000</v>
      </c>
      <c r="G165" s="2">
        <f>Table1[[#This Row],[Base_Salary]]/22*Table1[[#This Row],[Work_Days]]+Table1[[#This Row],[Tiền thưởng]]</f>
        <v>13181818.181818184</v>
      </c>
      <c r="H165" s="2" t="s">
        <v>6</v>
      </c>
    </row>
    <row r="166" spans="1:8" ht="13" x14ac:dyDescent="0.15">
      <c r="A166" s="2" t="s">
        <v>177</v>
      </c>
      <c r="B166" s="2" t="s">
        <v>11</v>
      </c>
      <c r="C166" s="2">
        <v>20000000</v>
      </c>
      <c r="D166" s="2">
        <v>20</v>
      </c>
      <c r="E166" s="2" t="s">
        <v>7</v>
      </c>
      <c r="F166" s="2">
        <f>IF(Table1[[#This Row],[Rating]]="A",Table1[[#This Row],[Base_Salary]]*0.1,IF(E166="B",C166*0.05,0))</f>
        <v>1000000</v>
      </c>
      <c r="G166" s="2">
        <f>Table1[[#This Row],[Base_Salary]]/22*Table1[[#This Row],[Work_Days]]+Table1[[#This Row],[Tiền thưởng]]</f>
        <v>19181818.18181818</v>
      </c>
      <c r="H166" s="2" t="s">
        <v>6</v>
      </c>
    </row>
    <row r="167" spans="1:8" ht="13" x14ac:dyDescent="0.15">
      <c r="A167" s="2" t="s">
        <v>178</v>
      </c>
      <c r="B167" s="2" t="s">
        <v>13</v>
      </c>
      <c r="C167" s="2">
        <v>8000000</v>
      </c>
      <c r="D167" s="2">
        <v>22</v>
      </c>
      <c r="E167" s="2" t="s">
        <v>8</v>
      </c>
      <c r="F167" s="2">
        <f>IF(Table1[[#This Row],[Rating]]="A",Table1[[#This Row],[Base_Salary]]*0.1,IF(E167="B",C167*0.05,0))</f>
        <v>0</v>
      </c>
      <c r="G167" s="2">
        <f>Table1[[#This Row],[Base_Salary]]/22*Table1[[#This Row],[Work_Days]]+Table1[[#This Row],[Tiền thưởng]]</f>
        <v>8000000</v>
      </c>
      <c r="H167" s="2" t="s">
        <v>6</v>
      </c>
    </row>
    <row r="168" spans="1:8" ht="13" x14ac:dyDescent="0.15">
      <c r="A168" s="2" t="s">
        <v>179</v>
      </c>
      <c r="B168" s="2" t="s">
        <v>15</v>
      </c>
      <c r="C168" s="2">
        <v>15000000</v>
      </c>
      <c r="D168" s="2">
        <v>22</v>
      </c>
      <c r="E168" s="2" t="s">
        <v>5</v>
      </c>
      <c r="F168" s="2">
        <f>IF(Table1[[#This Row],[Rating]]="A",Table1[[#This Row],[Base_Salary]]*0.1,IF(E168="B",C168*0.05,0))</f>
        <v>1500000</v>
      </c>
      <c r="G168" s="2">
        <f>Table1[[#This Row],[Base_Salary]]/22*Table1[[#This Row],[Work_Days]]+Table1[[#This Row],[Tiền thưởng]]</f>
        <v>16499999.999999998</v>
      </c>
      <c r="H168" s="2" t="s">
        <v>6</v>
      </c>
    </row>
    <row r="169" spans="1:8" ht="13" x14ac:dyDescent="0.15">
      <c r="A169" s="2" t="s">
        <v>180</v>
      </c>
      <c r="B169" s="2" t="s">
        <v>11</v>
      </c>
      <c r="C169" s="3">
        <v>12500000</v>
      </c>
      <c r="D169" s="2">
        <v>21</v>
      </c>
      <c r="E169" s="2" t="s">
        <v>7</v>
      </c>
      <c r="F169" s="2">
        <f>IF(Table1[[#This Row],[Rating]]="A",Table1[[#This Row],[Base_Salary]]*0.1,IF(E169="B",C169*0.05,0))</f>
        <v>625000</v>
      </c>
      <c r="G169" s="2">
        <f>Table1[[#This Row],[Base_Salary]]/22*Table1[[#This Row],[Work_Days]]+Table1[[#This Row],[Tiền thưởng]]</f>
        <v>12556818.181818184</v>
      </c>
      <c r="H169" s="2" t="s">
        <v>6</v>
      </c>
    </row>
    <row r="170" spans="1:8" ht="13" x14ac:dyDescent="0.15">
      <c r="A170" s="2" t="s">
        <v>181</v>
      </c>
      <c r="B170" s="2" t="s">
        <v>13</v>
      </c>
      <c r="C170" s="2">
        <v>20000000</v>
      </c>
      <c r="D170" s="2">
        <v>20</v>
      </c>
      <c r="E170" s="2" t="s">
        <v>8</v>
      </c>
      <c r="F170" s="2">
        <f>IF(Table1[[#This Row],[Rating]]="A",Table1[[#This Row],[Base_Salary]]*0.1,IF(E170="B",C170*0.05,0))</f>
        <v>0</v>
      </c>
      <c r="G170" s="2">
        <f>Table1[[#This Row],[Base_Salary]]/22*Table1[[#This Row],[Work_Days]]+Table1[[#This Row],[Tiền thưởng]]</f>
        <v>18181818.18181818</v>
      </c>
      <c r="H170" s="2" t="s">
        <v>6</v>
      </c>
    </row>
    <row r="171" spans="1:8" ht="13" x14ac:dyDescent="0.15">
      <c r="A171" s="2" t="s">
        <v>182</v>
      </c>
      <c r="B171" s="2" t="s">
        <v>15</v>
      </c>
      <c r="C171" s="2">
        <v>8000000</v>
      </c>
      <c r="D171" s="2">
        <v>22</v>
      </c>
      <c r="F171">
        <f>IF(Table1[[#This Row],[Rating]]="A",Table1[[#This Row],[Base_Salary]]*0.1,IF(E171="B",C171*0.05,0))</f>
        <v>0</v>
      </c>
      <c r="G171">
        <f>Table1[[#This Row],[Base_Salary]]/22*Table1[[#This Row],[Work_Days]]+Table1[[#This Row],[Tiền thưởng]]</f>
        <v>8000000</v>
      </c>
      <c r="H171" s="2" t="s">
        <v>6</v>
      </c>
    </row>
    <row r="172" spans="1:8" ht="13" x14ac:dyDescent="0.15">
      <c r="A172" s="2" t="s">
        <v>183</v>
      </c>
      <c r="B172" s="2" t="s">
        <v>11</v>
      </c>
      <c r="C172" s="2">
        <v>15000000</v>
      </c>
      <c r="D172" s="2">
        <v>22</v>
      </c>
      <c r="E172" s="2" t="s">
        <v>5</v>
      </c>
      <c r="F172" s="2">
        <f>IF(Table1[[#This Row],[Rating]]="A",Table1[[#This Row],[Base_Salary]]*0.1,IF(E172="B",C172*0.05,0))</f>
        <v>1500000</v>
      </c>
      <c r="G172" s="2">
        <f>Table1[[#This Row],[Base_Salary]]/22*Table1[[#This Row],[Work_Days]]+Table1[[#This Row],[Tiền thưởng]]</f>
        <v>16499999.999999998</v>
      </c>
      <c r="H172" s="2" t="s">
        <v>6</v>
      </c>
    </row>
    <row r="173" spans="1:8" ht="13" x14ac:dyDescent="0.15">
      <c r="A173" s="2" t="s">
        <v>184</v>
      </c>
      <c r="B173" s="2" t="s">
        <v>13</v>
      </c>
      <c r="C173" s="3">
        <v>12500000</v>
      </c>
      <c r="D173" s="2">
        <v>21</v>
      </c>
      <c r="E173" s="2" t="s">
        <v>7</v>
      </c>
      <c r="F173" s="2">
        <f>IF(Table1[[#This Row],[Rating]]="A",Table1[[#This Row],[Base_Salary]]*0.1,IF(E173="B",C173*0.05,0))</f>
        <v>625000</v>
      </c>
      <c r="G173" s="2">
        <f>Table1[[#This Row],[Base_Salary]]/22*Table1[[#This Row],[Work_Days]]+Table1[[#This Row],[Tiền thưởng]]</f>
        <v>12556818.181818184</v>
      </c>
      <c r="H173" s="2" t="s">
        <v>6</v>
      </c>
    </row>
    <row r="174" spans="1:8" ht="13" x14ac:dyDescent="0.15">
      <c r="A174" s="2" t="s">
        <v>185</v>
      </c>
      <c r="B174" s="2" t="s">
        <v>15</v>
      </c>
      <c r="C174" s="2">
        <v>20000000</v>
      </c>
      <c r="D174" s="2">
        <v>20</v>
      </c>
      <c r="E174" s="2" t="s">
        <v>8</v>
      </c>
      <c r="F174" s="2">
        <f>IF(Table1[[#This Row],[Rating]]="A",Table1[[#This Row],[Base_Salary]]*0.1,IF(E174="B",C174*0.05,0))</f>
        <v>0</v>
      </c>
      <c r="G174" s="2">
        <f>Table1[[#This Row],[Base_Salary]]/22*Table1[[#This Row],[Work_Days]]+Table1[[#This Row],[Tiền thưởng]]</f>
        <v>18181818.18181818</v>
      </c>
      <c r="H174" s="2" t="s">
        <v>6</v>
      </c>
    </row>
    <row r="175" spans="1:8" ht="13" x14ac:dyDescent="0.15">
      <c r="A175" s="2" t="s">
        <v>186</v>
      </c>
      <c r="B175" s="2" t="s">
        <v>11</v>
      </c>
      <c r="C175" s="2">
        <v>8000000</v>
      </c>
      <c r="D175" s="2">
        <v>22</v>
      </c>
      <c r="E175" s="2" t="s">
        <v>5</v>
      </c>
      <c r="F175" s="2">
        <f>IF(Table1[[#This Row],[Rating]]="A",Table1[[#This Row],[Base_Salary]]*0.1,IF(E175="B",C175*0.05,0))</f>
        <v>800000</v>
      </c>
      <c r="G175" s="2">
        <f>Table1[[#This Row],[Base_Salary]]/22*Table1[[#This Row],[Work_Days]]+Table1[[#This Row],[Tiền thưởng]]</f>
        <v>8800000</v>
      </c>
      <c r="H175" s="2" t="s">
        <v>6</v>
      </c>
    </row>
    <row r="176" spans="1:8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</sheetData>
  <conditionalFormatting sqref="A1:A1048576">
    <cfRule type="duplicateValues" dxfId="3" priority="1"/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Phuong Yen Nhi D25QT02</cp:lastModifiedBy>
  <dcterms:modified xsi:type="dcterms:W3CDTF">2026-01-21T02:29:45Z</dcterms:modified>
</cp:coreProperties>
</file>